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USER\Desktop\Call Center Dataset\"/>
    </mc:Choice>
  </mc:AlternateContent>
  <xr:revisionPtr revIDLastSave="0" documentId="13_ncr:1_{5C6C7A0E-00FF-4AEF-94B6-5093556223DD}" xr6:coauthVersionLast="47" xr6:coauthVersionMax="47" xr10:uidLastSave="{00000000-0000-0000-0000-000000000000}"/>
  <bookViews>
    <workbookView xWindow="-120" yWindow="-120" windowWidth="20730" windowHeight="11160" firstSheet="6" activeTab="9" xr2:uid="{00000000-000D-0000-FFFF-FFFF00000000}"/>
  </bookViews>
  <sheets>
    <sheet name="Raw_Data" sheetId="1" r:id="rId1"/>
    <sheet name="Cleaned_Data" sheetId="3" r:id="rId2"/>
    <sheet name="Analysis" sheetId="4" r:id="rId3"/>
    <sheet name="Agent_Performance" sheetId="5" r:id="rId4"/>
    <sheet name="Conversion_Category" sheetId="7" r:id="rId5"/>
    <sheet name="Monthly_Trends" sheetId="8" r:id="rId6"/>
    <sheet name="KPI_Source" sheetId="12" r:id="rId7"/>
    <sheet name="KPI_Summary" sheetId="10" r:id="rId8"/>
    <sheet name="Charts" sheetId="11" r:id="rId9"/>
    <sheet name="Dashboard" sheetId="14" r:id="rId10"/>
  </sheets>
  <definedNames>
    <definedName name="Slicer_Conversion_Category">#N/A</definedName>
    <definedName name="Slicer_Month">#N/A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0" l="1"/>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2" i="4"/>
  <c r="M2" i="4"/>
  <c r="P2" i="4" s="1"/>
  <c r="M3" i="4"/>
  <c r="P3" i="4" s="1"/>
  <c r="M4" i="4"/>
  <c r="P4" i="4" s="1"/>
  <c r="M5" i="4"/>
  <c r="P5" i="4" s="1"/>
  <c r="M6" i="4"/>
  <c r="P6" i="4" s="1"/>
  <c r="M7" i="4"/>
  <c r="P7" i="4" s="1"/>
  <c r="M8" i="4"/>
  <c r="P8" i="4" s="1"/>
  <c r="M9" i="4"/>
  <c r="P9" i="4" s="1"/>
  <c r="M10" i="4"/>
  <c r="P10" i="4" s="1"/>
  <c r="M11" i="4"/>
  <c r="P11" i="4" s="1"/>
  <c r="M12" i="4"/>
  <c r="P12" i="4" s="1"/>
  <c r="M13" i="4"/>
  <c r="P13" i="4" s="1"/>
  <c r="M14" i="4"/>
  <c r="P14" i="4" s="1"/>
  <c r="M15" i="4"/>
  <c r="P15" i="4" s="1"/>
  <c r="M16" i="4"/>
  <c r="P16" i="4" s="1"/>
  <c r="M17" i="4"/>
  <c r="P17" i="4" s="1"/>
  <c r="M18" i="4"/>
  <c r="P18" i="4" s="1"/>
  <c r="M19" i="4"/>
  <c r="P19" i="4" s="1"/>
  <c r="M20" i="4"/>
  <c r="P20" i="4" s="1"/>
  <c r="M21" i="4"/>
  <c r="P21" i="4" s="1"/>
  <c r="M22" i="4"/>
  <c r="P22" i="4" s="1"/>
  <c r="M23" i="4"/>
  <c r="P23" i="4" s="1"/>
  <c r="M24" i="4"/>
  <c r="P24" i="4" s="1"/>
  <c r="M25" i="4"/>
  <c r="P25" i="4" s="1"/>
  <c r="M26" i="4"/>
  <c r="P26" i="4" s="1"/>
  <c r="M27" i="4"/>
  <c r="P27" i="4" s="1"/>
  <c r="M28" i="4"/>
  <c r="P28" i="4" s="1"/>
  <c r="M29" i="4"/>
  <c r="P29" i="4" s="1"/>
  <c r="M30" i="4"/>
  <c r="P30" i="4" s="1"/>
  <c r="M31" i="4"/>
  <c r="P31" i="4" s="1"/>
  <c r="M32" i="4"/>
  <c r="P32" i="4" s="1"/>
  <c r="M33" i="4"/>
  <c r="P33" i="4" s="1"/>
  <c r="M34" i="4"/>
  <c r="P34" i="4" s="1"/>
  <c r="M35" i="4"/>
  <c r="P35" i="4" s="1"/>
  <c r="M36" i="4"/>
  <c r="P36" i="4" s="1"/>
  <c r="M37" i="4"/>
  <c r="P37" i="4" s="1"/>
  <c r="M38" i="4"/>
  <c r="P38" i="4" s="1"/>
  <c r="M39" i="4"/>
  <c r="P39" i="4" s="1"/>
  <c r="M40" i="4"/>
  <c r="P40" i="4" s="1"/>
  <c r="M41" i="4"/>
  <c r="P41" i="4" s="1"/>
  <c r="M42" i="4"/>
  <c r="P42" i="4" s="1"/>
  <c r="M43" i="4"/>
  <c r="P43" i="4" s="1"/>
  <c r="M44" i="4"/>
  <c r="P44" i="4" s="1"/>
  <c r="M45" i="4"/>
  <c r="P45" i="4" s="1"/>
  <c r="M46" i="4"/>
  <c r="P46" i="4" s="1"/>
  <c r="M47" i="4"/>
  <c r="P47" i="4" s="1"/>
  <c r="M48" i="4"/>
  <c r="P48" i="4" s="1"/>
  <c r="M49" i="4"/>
  <c r="P49" i="4" s="1"/>
  <c r="M50" i="4"/>
  <c r="P50" i="4" s="1"/>
  <c r="M51" i="4"/>
  <c r="P51" i="4" s="1"/>
  <c r="M52" i="4"/>
  <c r="P52" i="4" s="1"/>
  <c r="M53" i="4"/>
  <c r="P53" i="4" s="1"/>
  <c r="M54" i="4"/>
  <c r="P54" i="4" s="1"/>
  <c r="M55" i="4"/>
  <c r="P55" i="4" s="1"/>
  <c r="M56" i="4"/>
  <c r="P56" i="4" s="1"/>
  <c r="M57" i="4"/>
  <c r="P57" i="4" s="1"/>
  <c r="M58" i="4"/>
  <c r="P58" i="4" s="1"/>
  <c r="M59" i="4"/>
  <c r="P59" i="4" s="1"/>
  <c r="M60" i="4"/>
  <c r="P60" i="4" s="1"/>
  <c r="M61" i="4"/>
  <c r="P61" i="4" s="1"/>
  <c r="M62" i="4"/>
  <c r="P62" i="4" s="1"/>
  <c r="M63" i="4"/>
  <c r="P63" i="4" s="1"/>
  <c r="M64" i="4"/>
  <c r="P64" i="4" s="1"/>
  <c r="M65" i="4"/>
  <c r="P65" i="4" s="1"/>
  <c r="M66" i="4"/>
  <c r="P66" i="4" s="1"/>
  <c r="M67" i="4"/>
  <c r="P67" i="4" s="1"/>
  <c r="M68" i="4"/>
  <c r="P68" i="4" s="1"/>
  <c r="M69" i="4"/>
  <c r="P69" i="4" s="1"/>
  <c r="M70" i="4"/>
  <c r="P70" i="4" s="1"/>
  <c r="M71" i="4"/>
  <c r="P71" i="4" s="1"/>
  <c r="M72" i="4"/>
  <c r="P72" i="4" s="1"/>
  <c r="M73" i="4"/>
  <c r="P73" i="4" s="1"/>
  <c r="M74" i="4"/>
  <c r="P74" i="4" s="1"/>
  <c r="M75" i="4"/>
  <c r="P75" i="4" s="1"/>
  <c r="M76" i="4"/>
  <c r="P76" i="4" s="1"/>
  <c r="M77" i="4"/>
  <c r="P77" i="4" s="1"/>
  <c r="M78" i="4"/>
  <c r="P78" i="4" s="1"/>
  <c r="M79" i="4"/>
  <c r="P79" i="4" s="1"/>
  <c r="M80" i="4"/>
  <c r="P80" i="4" s="1"/>
  <c r="M81" i="4"/>
  <c r="P81" i="4" s="1"/>
  <c r="M82" i="4"/>
  <c r="P82" i="4" s="1"/>
  <c r="M83" i="4"/>
  <c r="P83" i="4" s="1"/>
  <c r="M84" i="4"/>
  <c r="P84" i="4" s="1"/>
  <c r="M85" i="4"/>
  <c r="P85" i="4" s="1"/>
  <c r="M86" i="4"/>
  <c r="P86" i="4" s="1"/>
  <c r="M87" i="4"/>
  <c r="P87" i="4" s="1"/>
  <c r="M88" i="4"/>
  <c r="P88" i="4" s="1"/>
  <c r="M89" i="4"/>
  <c r="P89" i="4" s="1"/>
  <c r="M90" i="4"/>
  <c r="P90" i="4" s="1"/>
  <c r="M91" i="4"/>
  <c r="P91" i="4" s="1"/>
  <c r="M92" i="4"/>
  <c r="P92" i="4" s="1"/>
  <c r="M93" i="4"/>
  <c r="P93" i="4" s="1"/>
  <c r="M94" i="4"/>
  <c r="P94" i="4" s="1"/>
  <c r="M95" i="4"/>
  <c r="P95" i="4" s="1"/>
  <c r="M96" i="4"/>
  <c r="P96" i="4" s="1"/>
  <c r="M97" i="4"/>
  <c r="P97" i="4" s="1"/>
  <c r="M98" i="4"/>
  <c r="P98" i="4" s="1"/>
  <c r="M99" i="4"/>
  <c r="P99" i="4" s="1"/>
  <c r="M100" i="4"/>
  <c r="P100" i="4" s="1"/>
  <c r="M101" i="4"/>
  <c r="P101" i="4" s="1"/>
  <c r="M102" i="4"/>
  <c r="P102" i="4" s="1"/>
  <c r="M103" i="4"/>
  <c r="P103" i="4" s="1"/>
  <c r="M104" i="4"/>
  <c r="P104" i="4" s="1"/>
  <c r="M105" i="4"/>
  <c r="P105" i="4" s="1"/>
  <c r="M106" i="4"/>
  <c r="P106" i="4" s="1"/>
  <c r="M107" i="4"/>
  <c r="P107" i="4" s="1"/>
  <c r="M108" i="4"/>
  <c r="P108" i="4" s="1"/>
  <c r="M109" i="4"/>
  <c r="P109" i="4" s="1"/>
  <c r="M110" i="4"/>
  <c r="P110" i="4" s="1"/>
  <c r="M111" i="4"/>
  <c r="P111" i="4" s="1"/>
  <c r="M112" i="4"/>
  <c r="P112" i="4" s="1"/>
  <c r="M113" i="4"/>
  <c r="P113" i="4" s="1"/>
  <c r="M114" i="4"/>
  <c r="P114" i="4" s="1"/>
  <c r="M115" i="4"/>
  <c r="P115" i="4" s="1"/>
  <c r="M116" i="4"/>
  <c r="P116" i="4" s="1"/>
  <c r="M117" i="4"/>
  <c r="P117" i="4" s="1"/>
  <c r="M118" i="4"/>
  <c r="P118" i="4" s="1"/>
  <c r="M119" i="4"/>
  <c r="P119" i="4" s="1"/>
  <c r="M120" i="4"/>
  <c r="P120" i="4" s="1"/>
  <c r="M121" i="4"/>
  <c r="P121" i="4" s="1"/>
  <c r="M122" i="4"/>
  <c r="P122" i="4" s="1"/>
  <c r="M123" i="4"/>
  <c r="P123" i="4" s="1"/>
  <c r="M124" i="4"/>
  <c r="P124" i="4" s="1"/>
  <c r="M125" i="4"/>
  <c r="P125" i="4" s="1"/>
  <c r="M126" i="4"/>
  <c r="P126" i="4" s="1"/>
  <c r="M127" i="4"/>
  <c r="P127" i="4" s="1"/>
  <c r="M128" i="4"/>
  <c r="P128" i="4" s="1"/>
  <c r="M129" i="4"/>
  <c r="P129" i="4" s="1"/>
  <c r="M130" i="4"/>
  <c r="P130" i="4" s="1"/>
  <c r="M131" i="4"/>
  <c r="P131" i="4" s="1"/>
  <c r="M132" i="4"/>
  <c r="P132" i="4" s="1"/>
  <c r="M133" i="4"/>
  <c r="P133" i="4" s="1"/>
  <c r="M134" i="4"/>
  <c r="P134" i="4" s="1"/>
  <c r="M135" i="4"/>
  <c r="P135" i="4" s="1"/>
  <c r="M136" i="4"/>
  <c r="P136" i="4" s="1"/>
  <c r="M137" i="4"/>
  <c r="P137" i="4" s="1"/>
  <c r="M138" i="4"/>
  <c r="P138" i="4" s="1"/>
  <c r="M139" i="4"/>
  <c r="P139" i="4" s="1"/>
  <c r="M140" i="4"/>
  <c r="P140" i="4" s="1"/>
  <c r="M141" i="4"/>
  <c r="P141" i="4" s="1"/>
  <c r="M142" i="4"/>
  <c r="P142" i="4" s="1"/>
  <c r="M143" i="4"/>
  <c r="P143" i="4" s="1"/>
  <c r="M144" i="4"/>
  <c r="P144" i="4" s="1"/>
  <c r="M145" i="4"/>
  <c r="P145" i="4" s="1"/>
  <c r="M146" i="4"/>
  <c r="P146" i="4" s="1"/>
  <c r="M147" i="4"/>
  <c r="P147" i="4" s="1"/>
  <c r="M148" i="4"/>
  <c r="P148" i="4" s="1"/>
  <c r="M149" i="4"/>
  <c r="P149" i="4" s="1"/>
  <c r="M150" i="4"/>
  <c r="P150" i="4" s="1"/>
  <c r="M151" i="4"/>
  <c r="P151" i="4" s="1"/>
  <c r="M152" i="4"/>
  <c r="P152" i="4" s="1"/>
  <c r="M153" i="4"/>
  <c r="P153" i="4" s="1"/>
  <c r="M154" i="4"/>
  <c r="P154" i="4" s="1"/>
  <c r="M155" i="4"/>
  <c r="P155" i="4" s="1"/>
  <c r="M156" i="4"/>
  <c r="P156" i="4" s="1"/>
  <c r="M157" i="4"/>
  <c r="P157" i="4" s="1"/>
  <c r="M158" i="4"/>
  <c r="P158" i="4" s="1"/>
  <c r="M159" i="4"/>
  <c r="P159" i="4" s="1"/>
  <c r="M160" i="4"/>
  <c r="P160" i="4" s="1"/>
  <c r="M161" i="4"/>
  <c r="P161" i="4" s="1"/>
  <c r="M162" i="4"/>
  <c r="P162" i="4" s="1"/>
  <c r="M163" i="4"/>
  <c r="P163" i="4" s="1"/>
  <c r="M164" i="4"/>
  <c r="P164" i="4" s="1"/>
  <c r="M165" i="4"/>
  <c r="P165" i="4" s="1"/>
  <c r="M166" i="4"/>
  <c r="P166" i="4" s="1"/>
  <c r="M167" i="4"/>
  <c r="P167" i="4" s="1"/>
  <c r="M168" i="4"/>
  <c r="P168" i="4" s="1"/>
  <c r="M169" i="4"/>
  <c r="P169" i="4" s="1"/>
  <c r="M170" i="4"/>
  <c r="P170" i="4" s="1"/>
  <c r="M171" i="4"/>
  <c r="P171" i="4" s="1"/>
  <c r="M172" i="4"/>
  <c r="P172" i="4" s="1"/>
  <c r="M173" i="4"/>
  <c r="P173" i="4" s="1"/>
  <c r="M174" i="4"/>
  <c r="P174" i="4" s="1"/>
  <c r="M175" i="4"/>
  <c r="P175" i="4" s="1"/>
  <c r="M176" i="4"/>
  <c r="P176" i="4" s="1"/>
  <c r="M177" i="4"/>
  <c r="P177" i="4" s="1"/>
  <c r="M178" i="4"/>
  <c r="P178" i="4" s="1"/>
  <c r="M179" i="4"/>
  <c r="P179" i="4" s="1"/>
  <c r="M180" i="4"/>
  <c r="P180" i="4" s="1"/>
  <c r="M181" i="4"/>
  <c r="P181" i="4" s="1"/>
  <c r="M182" i="4"/>
  <c r="P182" i="4" s="1"/>
  <c r="M183" i="4"/>
  <c r="P183" i="4" s="1"/>
  <c r="M184" i="4"/>
  <c r="P184" i="4" s="1"/>
  <c r="M185" i="4"/>
  <c r="P185" i="4" s="1"/>
  <c r="M186" i="4"/>
  <c r="P186" i="4" s="1"/>
  <c r="M187" i="4"/>
  <c r="P187" i="4" s="1"/>
  <c r="M188" i="4"/>
  <c r="P188" i="4" s="1"/>
  <c r="M189" i="4"/>
  <c r="P189" i="4" s="1"/>
  <c r="M190" i="4"/>
  <c r="P190" i="4" s="1"/>
  <c r="M191" i="4"/>
  <c r="P191" i="4" s="1"/>
  <c r="M192" i="4"/>
  <c r="P192" i="4" s="1"/>
  <c r="M193" i="4"/>
  <c r="P193" i="4" s="1"/>
  <c r="M194" i="4"/>
  <c r="P194" i="4" s="1"/>
  <c r="M195" i="4"/>
  <c r="P195" i="4" s="1"/>
  <c r="M196" i="4"/>
  <c r="P196" i="4" s="1"/>
  <c r="M197" i="4"/>
  <c r="P197" i="4" s="1"/>
  <c r="M198" i="4"/>
  <c r="P198" i="4" s="1"/>
  <c r="M199" i="4"/>
  <c r="P199" i="4" s="1"/>
  <c r="M200" i="4"/>
  <c r="P200" i="4" s="1"/>
  <c r="M201" i="4"/>
  <c r="P201" i="4" s="1"/>
  <c r="M202" i="4"/>
  <c r="P202" i="4" s="1"/>
  <c r="M203" i="4"/>
  <c r="P203" i="4" s="1"/>
  <c r="M204" i="4"/>
  <c r="P204" i="4" s="1"/>
  <c r="M205" i="4"/>
  <c r="P205" i="4" s="1"/>
  <c r="M206" i="4"/>
  <c r="P206" i="4" s="1"/>
  <c r="M207" i="4"/>
  <c r="P207" i="4" s="1"/>
  <c r="M208" i="4"/>
  <c r="P208" i="4" s="1"/>
  <c r="M209" i="4"/>
  <c r="P209" i="4" s="1"/>
  <c r="M210" i="4"/>
  <c r="P210" i="4" s="1"/>
  <c r="M211" i="4"/>
  <c r="P211" i="4" s="1"/>
  <c r="M212" i="4"/>
  <c r="P212" i="4" s="1"/>
  <c r="M213" i="4"/>
  <c r="P213" i="4" s="1"/>
  <c r="M214" i="4"/>
  <c r="P214" i="4" s="1"/>
  <c r="M215" i="4"/>
  <c r="P215" i="4" s="1"/>
  <c r="M216" i="4"/>
  <c r="P216" i="4" s="1"/>
  <c r="M217" i="4"/>
  <c r="P217" i="4" s="1"/>
  <c r="M218" i="4"/>
  <c r="P218" i="4" s="1"/>
  <c r="M219" i="4"/>
  <c r="P219" i="4" s="1"/>
  <c r="M220" i="4"/>
  <c r="P220" i="4" s="1"/>
  <c r="M221" i="4"/>
  <c r="P221" i="4" s="1"/>
  <c r="M222" i="4"/>
  <c r="P222" i="4" s="1"/>
  <c r="M223" i="4"/>
  <c r="P223" i="4" s="1"/>
  <c r="M224" i="4"/>
  <c r="P224" i="4" s="1"/>
  <c r="M225" i="4"/>
  <c r="P225" i="4" s="1"/>
  <c r="M226" i="4"/>
  <c r="P226" i="4" s="1"/>
  <c r="M227" i="4"/>
  <c r="P227" i="4" s="1"/>
  <c r="M228" i="4"/>
  <c r="P228" i="4" s="1"/>
  <c r="M229" i="4"/>
  <c r="P229" i="4" s="1"/>
  <c r="M230" i="4"/>
  <c r="P230" i="4" s="1"/>
  <c r="M231" i="4"/>
  <c r="P231" i="4" s="1"/>
  <c r="M232" i="4"/>
  <c r="P232" i="4" s="1"/>
  <c r="M233" i="4"/>
  <c r="P233" i="4" s="1"/>
  <c r="M234" i="4"/>
  <c r="P234" i="4" s="1"/>
  <c r="M235" i="4"/>
  <c r="P235" i="4" s="1"/>
  <c r="M236" i="4"/>
  <c r="P236" i="4" s="1"/>
  <c r="M237" i="4"/>
  <c r="P237" i="4" s="1"/>
  <c r="M238" i="4"/>
  <c r="P238" i="4" s="1"/>
  <c r="M239" i="4"/>
  <c r="P239" i="4" s="1"/>
  <c r="M240" i="4"/>
  <c r="P240" i="4" s="1"/>
  <c r="M241" i="4"/>
  <c r="P241" i="4" s="1"/>
  <c r="M242" i="4"/>
  <c r="P242" i="4" s="1"/>
  <c r="M243" i="4"/>
  <c r="P243" i="4" s="1"/>
  <c r="M244" i="4"/>
  <c r="P244" i="4" s="1"/>
  <c r="M245" i="4"/>
  <c r="P245" i="4" s="1"/>
  <c r="M246" i="4"/>
  <c r="P246" i="4" s="1"/>
  <c r="M247" i="4"/>
  <c r="P247" i="4" s="1"/>
  <c r="M248" i="4"/>
  <c r="P248" i="4" s="1"/>
  <c r="M249" i="4"/>
  <c r="P249" i="4" s="1"/>
  <c r="M250" i="4"/>
  <c r="P250" i="4" s="1"/>
  <c r="M251" i="4"/>
  <c r="P251" i="4" s="1"/>
  <c r="M252" i="4"/>
  <c r="P252" i="4" s="1"/>
  <c r="M253" i="4"/>
  <c r="P253" i="4" s="1"/>
  <c r="M254" i="4"/>
  <c r="P254" i="4" s="1"/>
  <c r="M255" i="4"/>
  <c r="P255" i="4" s="1"/>
  <c r="M256" i="4"/>
  <c r="P256" i="4" s="1"/>
  <c r="M257" i="4"/>
  <c r="P257" i="4" s="1"/>
  <c r="M258" i="4"/>
  <c r="P258" i="4" s="1"/>
  <c r="M259" i="4"/>
  <c r="P259" i="4" s="1"/>
  <c r="M260" i="4"/>
  <c r="P260" i="4" s="1"/>
  <c r="M261" i="4"/>
  <c r="P261" i="4" s="1"/>
  <c r="M262" i="4"/>
  <c r="P262" i="4" s="1"/>
  <c r="M263" i="4"/>
  <c r="P263" i="4" s="1"/>
  <c r="M264" i="4"/>
  <c r="P264" i="4" s="1"/>
  <c r="M265" i="4"/>
  <c r="P265" i="4" s="1"/>
  <c r="M266" i="4"/>
  <c r="P266" i="4" s="1"/>
  <c r="M267" i="4"/>
  <c r="P267" i="4" s="1"/>
  <c r="M268" i="4"/>
  <c r="P268" i="4" s="1"/>
  <c r="M269" i="4"/>
  <c r="P269" i="4" s="1"/>
  <c r="M270" i="4"/>
  <c r="P270" i="4" s="1"/>
  <c r="M271" i="4"/>
  <c r="P271" i="4" s="1"/>
  <c r="M272" i="4"/>
  <c r="P272" i="4" s="1"/>
  <c r="M273" i="4"/>
  <c r="P273" i="4" s="1"/>
  <c r="M274" i="4"/>
  <c r="P274" i="4" s="1"/>
  <c r="M275" i="4"/>
  <c r="P275" i="4" s="1"/>
  <c r="M276" i="4"/>
  <c r="P276" i="4" s="1"/>
  <c r="M277" i="4"/>
  <c r="P277" i="4" s="1"/>
  <c r="M278" i="4"/>
  <c r="P278" i="4" s="1"/>
  <c r="M279" i="4"/>
  <c r="P279" i="4" s="1"/>
  <c r="M280" i="4"/>
  <c r="P280" i="4" s="1"/>
  <c r="M281" i="4"/>
  <c r="P281" i="4" s="1"/>
  <c r="M282" i="4"/>
  <c r="P282" i="4" s="1"/>
  <c r="M283" i="4"/>
  <c r="P283" i="4" s="1"/>
  <c r="M284" i="4"/>
  <c r="P284" i="4" s="1"/>
  <c r="M285" i="4"/>
  <c r="P285" i="4" s="1"/>
  <c r="M286" i="4"/>
  <c r="P286" i="4" s="1"/>
  <c r="M287" i="4"/>
  <c r="P287" i="4" s="1"/>
  <c r="M288" i="4"/>
  <c r="P288" i="4" s="1"/>
  <c r="M289" i="4"/>
  <c r="P289" i="4" s="1"/>
  <c r="M290" i="4"/>
  <c r="P290" i="4" s="1"/>
  <c r="M291" i="4"/>
  <c r="P291" i="4" s="1"/>
  <c r="M292" i="4"/>
  <c r="P292" i="4" s="1"/>
  <c r="M293" i="4"/>
  <c r="P293" i="4" s="1"/>
  <c r="M294" i="4"/>
  <c r="P294" i="4" s="1"/>
  <c r="M295" i="4"/>
  <c r="P295" i="4" s="1"/>
  <c r="M296" i="4"/>
  <c r="P296" i="4" s="1"/>
  <c r="M297" i="4"/>
  <c r="P297" i="4" s="1"/>
  <c r="M298" i="4"/>
  <c r="P298" i="4" s="1"/>
  <c r="M299" i="4"/>
  <c r="P299" i="4" s="1"/>
  <c r="M300" i="4"/>
  <c r="P300" i="4" s="1"/>
  <c r="M301" i="4"/>
  <c r="P301" i="4" s="1"/>
  <c r="M302" i="4"/>
  <c r="P302" i="4" s="1"/>
  <c r="M303" i="4"/>
  <c r="P303" i="4" s="1"/>
  <c r="M304" i="4"/>
  <c r="P304" i="4" s="1"/>
  <c r="M305" i="4"/>
  <c r="P305" i="4" s="1"/>
  <c r="M306" i="4"/>
  <c r="P306" i="4" s="1"/>
  <c r="M307" i="4"/>
  <c r="P307" i="4" s="1"/>
  <c r="M308" i="4"/>
  <c r="P308" i="4" s="1"/>
  <c r="M309" i="4"/>
  <c r="P309" i="4" s="1"/>
  <c r="M310" i="4"/>
  <c r="P310" i="4" s="1"/>
  <c r="M311" i="4"/>
  <c r="P311" i="4" s="1"/>
  <c r="M312" i="4"/>
  <c r="P312" i="4" s="1"/>
  <c r="M313" i="4"/>
  <c r="P313" i="4" s="1"/>
  <c r="M314" i="4"/>
  <c r="P314" i="4" s="1"/>
  <c r="M315" i="4"/>
  <c r="P315" i="4" s="1"/>
  <c r="M316" i="4"/>
  <c r="P316" i="4" s="1"/>
  <c r="M317" i="4"/>
  <c r="P317" i="4" s="1"/>
  <c r="M318" i="4"/>
  <c r="P318" i="4" s="1"/>
  <c r="M319" i="4"/>
  <c r="P319" i="4" s="1"/>
  <c r="M320" i="4"/>
  <c r="P320" i="4" s="1"/>
  <c r="M321" i="4"/>
  <c r="P321" i="4" s="1"/>
  <c r="M322" i="4"/>
  <c r="P322" i="4" s="1"/>
  <c r="M323" i="4"/>
  <c r="P323" i="4" s="1"/>
  <c r="M324" i="4"/>
  <c r="P324" i="4" s="1"/>
  <c r="M325" i="4"/>
  <c r="P325" i="4" s="1"/>
  <c r="M326" i="4"/>
  <c r="P326" i="4" s="1"/>
  <c r="M327" i="4"/>
  <c r="P327" i="4" s="1"/>
  <c r="M328" i="4"/>
  <c r="P328" i="4" s="1"/>
  <c r="M329" i="4"/>
  <c r="P329" i="4" s="1"/>
  <c r="M330" i="4"/>
  <c r="P330" i="4" s="1"/>
  <c r="M331" i="4"/>
  <c r="P331" i="4" s="1"/>
  <c r="M332" i="4"/>
  <c r="P332" i="4" s="1"/>
  <c r="M333" i="4"/>
  <c r="P333" i="4" s="1"/>
  <c r="M334" i="4"/>
  <c r="P334" i="4" s="1"/>
  <c r="M335" i="4"/>
  <c r="P335" i="4" s="1"/>
  <c r="M336" i="4"/>
  <c r="P336" i="4" s="1"/>
  <c r="M337" i="4"/>
  <c r="P337" i="4" s="1"/>
  <c r="M338" i="4"/>
  <c r="P338" i="4" s="1"/>
  <c r="M339" i="4"/>
  <c r="P339" i="4" s="1"/>
  <c r="M340" i="4"/>
  <c r="P340" i="4" s="1"/>
  <c r="M341" i="4"/>
  <c r="P341" i="4" s="1"/>
  <c r="M342" i="4"/>
  <c r="P342" i="4" s="1"/>
  <c r="M343" i="4"/>
  <c r="P343" i="4" s="1"/>
  <c r="M344" i="4"/>
  <c r="P344" i="4" s="1"/>
  <c r="M345" i="4"/>
  <c r="P345" i="4" s="1"/>
  <c r="M346" i="4"/>
  <c r="P346" i="4" s="1"/>
  <c r="M347" i="4"/>
  <c r="P347" i="4" s="1"/>
  <c r="M348" i="4"/>
  <c r="P348" i="4" s="1"/>
  <c r="M349" i="4"/>
  <c r="P349" i="4" s="1"/>
  <c r="M350" i="4"/>
  <c r="P350" i="4" s="1"/>
  <c r="M351" i="4"/>
  <c r="P351" i="4" s="1"/>
  <c r="M352" i="4"/>
  <c r="P352" i="4" s="1"/>
  <c r="M353" i="4"/>
  <c r="P353" i="4" s="1"/>
  <c r="M354" i="4"/>
  <c r="P354" i="4" s="1"/>
  <c r="M355" i="4"/>
  <c r="P355" i="4" s="1"/>
  <c r="M356" i="4"/>
  <c r="P356" i="4" s="1"/>
  <c r="M357" i="4"/>
  <c r="P357" i="4" s="1"/>
  <c r="M358" i="4"/>
  <c r="P358" i="4" s="1"/>
  <c r="M359" i="4"/>
  <c r="P359" i="4" s="1"/>
  <c r="M360" i="4"/>
  <c r="P360" i="4" s="1"/>
  <c r="M361" i="4"/>
  <c r="P361" i="4" s="1"/>
  <c r="M362" i="4"/>
  <c r="P362" i="4" s="1"/>
  <c r="M363" i="4"/>
  <c r="P363" i="4" s="1"/>
  <c r="M364" i="4"/>
  <c r="P364" i="4" s="1"/>
  <c r="M365" i="4"/>
  <c r="P365" i="4" s="1"/>
  <c r="M366" i="4"/>
  <c r="P366" i="4" s="1"/>
  <c r="M367" i="4"/>
  <c r="P367" i="4" s="1"/>
  <c r="M368" i="4"/>
  <c r="P368" i="4" s="1"/>
  <c r="M369" i="4"/>
  <c r="P369" i="4" s="1"/>
  <c r="M370" i="4"/>
  <c r="P370" i="4" s="1"/>
  <c r="M371" i="4"/>
  <c r="P371" i="4" s="1"/>
  <c r="M372" i="4"/>
  <c r="P372" i="4" s="1"/>
  <c r="M373" i="4"/>
  <c r="P373" i="4" s="1"/>
  <c r="M374" i="4"/>
  <c r="P374" i="4" s="1"/>
  <c r="M375" i="4"/>
  <c r="P375" i="4" s="1"/>
  <c r="M376" i="4"/>
  <c r="P376" i="4" s="1"/>
  <c r="M377" i="4"/>
  <c r="P377" i="4" s="1"/>
  <c r="M378" i="4"/>
  <c r="P378" i="4" s="1"/>
  <c r="M379" i="4"/>
  <c r="P379" i="4" s="1"/>
  <c r="M380" i="4"/>
  <c r="P380" i="4" s="1"/>
  <c r="M381" i="4"/>
  <c r="P381" i="4" s="1"/>
  <c r="M382" i="4"/>
  <c r="P382" i="4" s="1"/>
  <c r="M383" i="4"/>
  <c r="P383" i="4" s="1"/>
  <c r="M384" i="4"/>
  <c r="P384" i="4" s="1"/>
  <c r="M385" i="4"/>
  <c r="P385" i="4" s="1"/>
  <c r="M386" i="4"/>
  <c r="P386" i="4" s="1"/>
  <c r="M387" i="4"/>
  <c r="P387" i="4" s="1"/>
  <c r="M388" i="4"/>
  <c r="P388" i="4" s="1"/>
  <c r="M389" i="4"/>
  <c r="P389" i="4" s="1"/>
  <c r="M390" i="4"/>
  <c r="P390" i="4" s="1"/>
  <c r="M391" i="4"/>
  <c r="P391" i="4" s="1"/>
  <c r="M392" i="4"/>
  <c r="P392" i="4" s="1"/>
  <c r="M393" i="4"/>
  <c r="P393" i="4" s="1"/>
  <c r="M394" i="4"/>
  <c r="P394" i="4" s="1"/>
  <c r="M395" i="4"/>
  <c r="P395" i="4" s="1"/>
  <c r="M396" i="4"/>
  <c r="P396" i="4" s="1"/>
  <c r="M397" i="4"/>
  <c r="P397" i="4" s="1"/>
  <c r="M398" i="4"/>
  <c r="P398" i="4" s="1"/>
  <c r="M399" i="4"/>
  <c r="P399" i="4" s="1"/>
  <c r="M400" i="4"/>
  <c r="P400" i="4" s="1"/>
  <c r="M401" i="4"/>
  <c r="P401" i="4" s="1"/>
  <c r="M402" i="4"/>
  <c r="P402" i="4" s="1"/>
  <c r="M403" i="4"/>
  <c r="P403" i="4" s="1"/>
  <c r="M404" i="4"/>
  <c r="P404" i="4" s="1"/>
  <c r="M405" i="4"/>
  <c r="P405" i="4" s="1"/>
  <c r="M406" i="4"/>
  <c r="P406" i="4" s="1"/>
  <c r="M407" i="4"/>
  <c r="P407" i="4" s="1"/>
  <c r="M408" i="4"/>
  <c r="P408" i="4" s="1"/>
  <c r="M409" i="4"/>
  <c r="P409" i="4" s="1"/>
  <c r="M410" i="4"/>
  <c r="P410" i="4" s="1"/>
  <c r="M411" i="4"/>
  <c r="P411" i="4" s="1"/>
  <c r="M412" i="4"/>
  <c r="P412" i="4" s="1"/>
  <c r="M413" i="4"/>
  <c r="P413" i="4" s="1"/>
  <c r="M414" i="4"/>
  <c r="P414" i="4" s="1"/>
  <c r="M415" i="4"/>
  <c r="P415" i="4" s="1"/>
  <c r="M416" i="4"/>
  <c r="P416" i="4" s="1"/>
  <c r="M417" i="4"/>
  <c r="P417" i="4" s="1"/>
  <c r="M418" i="4"/>
  <c r="P418" i="4" s="1"/>
  <c r="M419" i="4"/>
  <c r="P419" i="4" s="1"/>
  <c r="M420" i="4"/>
  <c r="P420" i="4" s="1"/>
  <c r="M421" i="4"/>
  <c r="P421" i="4" s="1"/>
  <c r="M422" i="4"/>
  <c r="P422" i="4" s="1"/>
  <c r="M423" i="4"/>
  <c r="P423" i="4" s="1"/>
  <c r="M424" i="4"/>
  <c r="P424" i="4" s="1"/>
  <c r="M425" i="4"/>
  <c r="P425" i="4" s="1"/>
  <c r="M426" i="4"/>
  <c r="P426" i="4" s="1"/>
  <c r="M427" i="4"/>
  <c r="P427" i="4" s="1"/>
  <c r="M428" i="4"/>
  <c r="P428" i="4" s="1"/>
  <c r="M429" i="4"/>
  <c r="P429" i="4" s="1"/>
  <c r="M430" i="4"/>
  <c r="P430" i="4" s="1"/>
  <c r="M431" i="4"/>
  <c r="P431" i="4" s="1"/>
  <c r="M432" i="4"/>
  <c r="P432" i="4" s="1"/>
  <c r="M433" i="4"/>
  <c r="P433" i="4" s="1"/>
  <c r="M434" i="4"/>
  <c r="P434" i="4" s="1"/>
  <c r="M435" i="4"/>
  <c r="P435" i="4" s="1"/>
  <c r="M436" i="4"/>
  <c r="P436" i="4" s="1"/>
  <c r="M437" i="4"/>
  <c r="P437" i="4" s="1"/>
  <c r="M438" i="4"/>
  <c r="P438" i="4" s="1"/>
  <c r="M439" i="4"/>
  <c r="P439" i="4" s="1"/>
  <c r="M440" i="4"/>
  <c r="P440" i="4" s="1"/>
  <c r="M441" i="4"/>
  <c r="P441" i="4" s="1"/>
  <c r="M442" i="4"/>
  <c r="P442" i="4" s="1"/>
  <c r="M443" i="4"/>
  <c r="P443" i="4" s="1"/>
  <c r="M444" i="4"/>
  <c r="P444" i="4" s="1"/>
  <c r="M445" i="4"/>
  <c r="P445" i="4" s="1"/>
  <c r="M446" i="4"/>
  <c r="P446" i="4" s="1"/>
  <c r="M447" i="4"/>
  <c r="P447" i="4" s="1"/>
  <c r="M448" i="4"/>
  <c r="P448" i="4" s="1"/>
  <c r="M449" i="4"/>
  <c r="P449" i="4" s="1"/>
  <c r="M450" i="4"/>
  <c r="P450" i="4" s="1"/>
  <c r="M451" i="4"/>
  <c r="P451" i="4" s="1"/>
  <c r="M452" i="4"/>
  <c r="P452" i="4" s="1"/>
  <c r="M453" i="4"/>
  <c r="P453" i="4" s="1"/>
  <c r="M454" i="4"/>
  <c r="P454" i="4" s="1"/>
  <c r="M455" i="4"/>
  <c r="P455" i="4" s="1"/>
  <c r="M456" i="4"/>
  <c r="P456" i="4" s="1"/>
  <c r="M457" i="4"/>
  <c r="P457" i="4" s="1"/>
  <c r="M458" i="4"/>
  <c r="P458" i="4" s="1"/>
  <c r="M459" i="4"/>
  <c r="P459" i="4" s="1"/>
  <c r="M460" i="4"/>
  <c r="P460" i="4" s="1"/>
  <c r="M461" i="4"/>
  <c r="P461" i="4" s="1"/>
  <c r="M462" i="4"/>
  <c r="P462" i="4" s="1"/>
  <c r="M463" i="4"/>
  <c r="P463" i="4" s="1"/>
  <c r="M464" i="4"/>
  <c r="P464" i="4" s="1"/>
  <c r="M465" i="4"/>
  <c r="P465" i="4" s="1"/>
  <c r="M466" i="4"/>
  <c r="P466" i="4" s="1"/>
  <c r="M467" i="4"/>
  <c r="P467" i="4" s="1"/>
  <c r="M468" i="4"/>
  <c r="P468" i="4" s="1"/>
  <c r="M469" i="4"/>
  <c r="P469" i="4" s="1"/>
  <c r="M470" i="4"/>
  <c r="P470" i="4" s="1"/>
  <c r="M471" i="4"/>
  <c r="P471" i="4" s="1"/>
  <c r="M472" i="4"/>
  <c r="P472" i="4" s="1"/>
  <c r="M473" i="4"/>
  <c r="P473" i="4" s="1"/>
  <c r="M474" i="4"/>
  <c r="P474" i="4" s="1"/>
  <c r="M475" i="4"/>
  <c r="P475" i="4" s="1"/>
  <c r="M476" i="4"/>
  <c r="P476" i="4" s="1"/>
  <c r="M477" i="4"/>
  <c r="P477" i="4" s="1"/>
  <c r="M478" i="4"/>
  <c r="P478" i="4" s="1"/>
  <c r="M479" i="4"/>
  <c r="P479" i="4" s="1"/>
  <c r="M480" i="4"/>
  <c r="P480" i="4" s="1"/>
  <c r="M481" i="4"/>
  <c r="P481" i="4" s="1"/>
  <c r="M482" i="4"/>
  <c r="P482" i="4" s="1"/>
  <c r="M483" i="4"/>
  <c r="P483" i="4" s="1"/>
  <c r="M484" i="4"/>
  <c r="P484" i="4" s="1"/>
  <c r="M485" i="4"/>
  <c r="P485" i="4" s="1"/>
  <c r="M486" i="4"/>
  <c r="P486" i="4" s="1"/>
  <c r="M487" i="4"/>
  <c r="P487" i="4" s="1"/>
  <c r="M488" i="4"/>
  <c r="P488" i="4" s="1"/>
  <c r="M489" i="4"/>
  <c r="P489" i="4" s="1"/>
  <c r="M490" i="4"/>
  <c r="P490" i="4" s="1"/>
  <c r="M491" i="4"/>
  <c r="P491" i="4" s="1"/>
  <c r="M492" i="4"/>
  <c r="P492" i="4" s="1"/>
  <c r="M493" i="4"/>
  <c r="P493" i="4" s="1"/>
  <c r="M494" i="4"/>
  <c r="P494" i="4" s="1"/>
  <c r="M495" i="4"/>
  <c r="P495" i="4" s="1"/>
  <c r="M496" i="4"/>
  <c r="P496" i="4" s="1"/>
  <c r="M497" i="4"/>
  <c r="P497" i="4" s="1"/>
  <c r="M498" i="4"/>
  <c r="P498" i="4" s="1"/>
  <c r="M499" i="4"/>
  <c r="P499" i="4" s="1"/>
  <c r="M500" i="4"/>
  <c r="P500" i="4" s="1"/>
  <c r="M501" i="4"/>
  <c r="P501" i="4" s="1"/>
  <c r="M502" i="4"/>
  <c r="P502" i="4" s="1"/>
  <c r="M503" i="4"/>
  <c r="P503" i="4" s="1"/>
  <c r="M504" i="4"/>
  <c r="P504" i="4" s="1"/>
  <c r="M505" i="4"/>
  <c r="P505" i="4" s="1"/>
  <c r="M506" i="4"/>
  <c r="P506" i="4" s="1"/>
  <c r="M507" i="4"/>
  <c r="P507" i="4" s="1"/>
  <c r="M508" i="4"/>
  <c r="P508" i="4" s="1"/>
  <c r="M509" i="4"/>
  <c r="P509" i="4" s="1"/>
  <c r="M510" i="4"/>
  <c r="P510" i="4" s="1"/>
  <c r="M511" i="4"/>
  <c r="P511" i="4" s="1"/>
  <c r="M512" i="4"/>
  <c r="P512" i="4" s="1"/>
  <c r="M513" i="4"/>
  <c r="P513" i="4" s="1"/>
  <c r="M514" i="4"/>
  <c r="P514" i="4" s="1"/>
  <c r="M515" i="4"/>
  <c r="P515" i="4" s="1"/>
  <c r="M516" i="4"/>
  <c r="P516" i="4" s="1"/>
  <c r="M517" i="4"/>
  <c r="P517" i="4" s="1"/>
  <c r="M518" i="4"/>
  <c r="P518" i="4" s="1"/>
  <c r="M519" i="4"/>
  <c r="P519" i="4" s="1"/>
  <c r="M520" i="4"/>
  <c r="P520" i="4" s="1"/>
  <c r="M521" i="4"/>
  <c r="P521" i="4" s="1"/>
  <c r="M522" i="4"/>
  <c r="P522" i="4" s="1"/>
  <c r="M523" i="4"/>
  <c r="P523" i="4" s="1"/>
  <c r="M524" i="4"/>
  <c r="P524" i="4" s="1"/>
  <c r="M525" i="4"/>
  <c r="P525" i="4" s="1"/>
  <c r="M526" i="4"/>
  <c r="P526" i="4" s="1"/>
  <c r="M527" i="4"/>
  <c r="P527" i="4" s="1"/>
  <c r="M528" i="4"/>
  <c r="P528" i="4" s="1"/>
  <c r="M529" i="4"/>
  <c r="P529" i="4" s="1"/>
  <c r="M530" i="4"/>
  <c r="P530" i="4" s="1"/>
  <c r="M531" i="4"/>
  <c r="P531" i="4" s="1"/>
  <c r="M532" i="4"/>
  <c r="P532" i="4" s="1"/>
  <c r="M533" i="4"/>
  <c r="P533" i="4" s="1"/>
  <c r="M534" i="4"/>
  <c r="P534" i="4" s="1"/>
  <c r="M535" i="4"/>
  <c r="P535" i="4" s="1"/>
  <c r="M536" i="4"/>
  <c r="P536" i="4" s="1"/>
  <c r="M537" i="4"/>
  <c r="P537" i="4" s="1"/>
  <c r="M538" i="4"/>
  <c r="P538" i="4" s="1"/>
  <c r="M539" i="4"/>
  <c r="P539" i="4" s="1"/>
  <c r="M540" i="4"/>
  <c r="P540" i="4" s="1"/>
  <c r="M541" i="4"/>
  <c r="P541" i="4" s="1"/>
  <c r="M542" i="4"/>
  <c r="P542" i="4" s="1"/>
  <c r="M543" i="4"/>
  <c r="P543" i="4" s="1"/>
  <c r="M544" i="4"/>
  <c r="P544" i="4" s="1"/>
  <c r="M545" i="4"/>
  <c r="P545" i="4" s="1"/>
  <c r="M546" i="4"/>
  <c r="P546" i="4" s="1"/>
  <c r="M547" i="4"/>
  <c r="P547" i="4" s="1"/>
  <c r="M548" i="4"/>
  <c r="P548" i="4" s="1"/>
  <c r="M549" i="4"/>
  <c r="P549" i="4" s="1"/>
  <c r="M550" i="4"/>
  <c r="P550" i="4" s="1"/>
  <c r="M551" i="4"/>
  <c r="P551" i="4" s="1"/>
  <c r="M552" i="4"/>
  <c r="P552" i="4" s="1"/>
  <c r="M553" i="4"/>
  <c r="P553" i="4" s="1"/>
  <c r="M554" i="4"/>
  <c r="P554" i="4" s="1"/>
  <c r="M555" i="4"/>
  <c r="P555" i="4" s="1"/>
  <c r="M556" i="4"/>
  <c r="P556" i="4" s="1"/>
  <c r="M557" i="4"/>
  <c r="P557" i="4" s="1"/>
  <c r="M558" i="4"/>
  <c r="P558" i="4" s="1"/>
  <c r="M559" i="4"/>
  <c r="P559" i="4" s="1"/>
  <c r="M560" i="4"/>
  <c r="P560" i="4" s="1"/>
  <c r="M561" i="4"/>
  <c r="P561" i="4" s="1"/>
  <c r="M562" i="4"/>
  <c r="P562" i="4" s="1"/>
  <c r="M563" i="4"/>
  <c r="P563" i="4" s="1"/>
  <c r="M564" i="4"/>
  <c r="P564" i="4" s="1"/>
  <c r="M565" i="4"/>
  <c r="P565" i="4" s="1"/>
  <c r="M566" i="4"/>
  <c r="P566" i="4" s="1"/>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B4" i="10"/>
  <c r="B3" i="10"/>
  <c r="B2" i="10"/>
  <c r="B5" i="10"/>
  <c r="B6" i="10" l="1"/>
</calcChain>
</file>

<file path=xl/sharedStrings.xml><?xml version="1.0" encoding="utf-8"?>
<sst xmlns="http://schemas.openxmlformats.org/spreadsheetml/2006/main" count="5192" uniqueCount="100">
  <si>
    <t>Date</t>
  </si>
  <si>
    <t>Total Calls</t>
  </si>
  <si>
    <t>Calls Reached</t>
  </si>
  <si>
    <t>Average Duration (sec)</t>
  </si>
  <si>
    <t>Deals Closed</t>
  </si>
  <si>
    <t>Deal Value ($)</t>
  </si>
  <si>
    <t>First Name</t>
  </si>
  <si>
    <t>Last Name</t>
  </si>
  <si>
    <t>Gender</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</si>
  <si>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</si>
  <si>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</si>
  <si>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</si>
  <si>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</si>
  <si>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</si>
  <si>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</si>
  <si>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</si>
  <si>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</si>
  <si>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</si>
  <si>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</si>
  <si>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</si>
  <si>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</si>
  <si>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</si>
  <si>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</si>
  <si>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</si>
  <si>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</si>
  <si>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</si>
  <si>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</si>
  <si>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</si>
  <si>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</si>
  <si>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</si>
  <si>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</si>
  <si>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</si>
  <si>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</si>
  <si>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</si>
  <si>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</si>
  <si>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Garcia</t>
  </si>
  <si>
    <t>Smith</t>
  </si>
  <si>
    <t>Johnson</t>
  </si>
  <si>
    <t>Rodriguez</t>
  </si>
  <si>
    <t>Jones</t>
  </si>
  <si>
    <t>Davis</t>
  </si>
  <si>
    <t>Miller</t>
  </si>
  <si>
    <t>Martinez</t>
  </si>
  <si>
    <t>Williams</t>
  </si>
  <si>
    <t>Brown</t>
  </si>
  <si>
    <t>Male</t>
  </si>
  <si>
    <t>Female</t>
  </si>
  <si>
    <t>John</t>
  </si>
  <si>
    <t>Anna</t>
  </si>
  <si>
    <t>Jane</t>
  </si>
  <si>
    <t>Agent Name</t>
  </si>
  <si>
    <t>Reach Rate</t>
  </si>
  <si>
    <t>Conversion Rate</t>
  </si>
  <si>
    <t>Revenue per Deal</t>
  </si>
  <si>
    <t>Revenue per Call</t>
  </si>
  <si>
    <t>Conversion Category</t>
  </si>
  <si>
    <t>Alice Brown</t>
  </si>
  <si>
    <t>Alice Smith</t>
  </si>
  <si>
    <t>Anna Martinez</t>
  </si>
  <si>
    <t>Chris Garcia</t>
  </si>
  <si>
    <t>Chris Martinez</t>
  </si>
  <si>
    <t>Evan Davis</t>
  </si>
  <si>
    <t>Evan Rodriguez</t>
  </si>
  <si>
    <t>Jane Martinez</t>
  </si>
  <si>
    <t>Mimi Brown</t>
  </si>
  <si>
    <t>Mimi Williams</t>
  </si>
  <si>
    <t>Grand Total</t>
  </si>
  <si>
    <t>High</t>
  </si>
  <si>
    <t xml:space="preserve"> Total Calls</t>
  </si>
  <si>
    <t>Total Revenue</t>
  </si>
  <si>
    <t>Avg Revenue per Call</t>
  </si>
  <si>
    <t>Avg Revenue per Deal</t>
  </si>
  <si>
    <t>Agent Performance Summary</t>
  </si>
  <si>
    <t>Low</t>
  </si>
  <si>
    <t>Number of Agents</t>
  </si>
  <si>
    <t>Jan</t>
  </si>
  <si>
    <t>Feb</t>
  </si>
  <si>
    <t>Mar</t>
  </si>
  <si>
    <t>Apr</t>
  </si>
  <si>
    <t>May</t>
  </si>
  <si>
    <t>Jun</t>
  </si>
  <si>
    <t>Jul</t>
  </si>
  <si>
    <t>Aug</t>
  </si>
  <si>
    <t>Sep</t>
  </si>
  <si>
    <t>Oct</t>
  </si>
  <si>
    <t>Nov</t>
  </si>
  <si>
    <t>Dec</t>
  </si>
  <si>
    <t>Month</t>
  </si>
  <si>
    <t>Revenue by Conversion Category</t>
  </si>
  <si>
    <t>KPI</t>
  </si>
  <si>
    <t>Value</t>
  </si>
  <si>
    <t>Total Calls Reached</t>
  </si>
  <si>
    <t>Total Deals Closed</t>
  </si>
  <si>
    <t xml:space="preserve"> Calls Reached</t>
  </si>
  <si>
    <t xml:space="preserve"> Deals Closed</t>
  </si>
  <si>
    <t>Call Center Performance (2024)</t>
  </si>
  <si>
    <t>Overall Conversion Rate</t>
  </si>
  <si>
    <t>.</t>
  </si>
  <si>
    <t>Monthly Revenue Summary (2024)</t>
  </si>
  <si>
    <t>Monthly Call Volume Summary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</si>
</sst>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409]#,##0.00"/>
    <numFmt numFmtId="166" formatCode="[$$-409]#,##0"/>
    <numFmt numFmtId="167" formatCode="[$$-1009]#,##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9" fontId="1" fillId="0" borderId="1" xfId="1" applyFont="1" applyBorder="1" applyAlignment="1">
      <alignment horizontal="center" vertical="top"/>
    </xf>
    <xf numFmtId="9" fontId="0" fillId="0" borderId="0" xfId="1" applyFon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0" fontId="3" fillId="0" borderId="0" xfId="0" applyFont="1"/>
    <xf numFmtId="166" fontId="0" fillId="0" borderId="0" xfId="0" applyNumberFormat="1"/>
    <xf numFmtId="167" fontId="0" fillId="0" borderId="0" xfId="0" applyNumberFormat="1"/>
    <xf numFmtId="0" fontId="0" fillId="2" borderId="0" xfId="0" applyFill="1"/>
    <xf numFmtId="0" fontId="4" fillId="2" borderId="0" xfId="0" applyFont="1" applyFill="1" applyAlignment="1">
      <alignment horizontal="center" vertical="center"/>
    </xf>
    <xf numFmtId="10" fontId="0" fillId="0" borderId="0" xfId="0" applyNumberFormat="1"/>
    <xf numFmtId="10" fontId="0" fillId="0" borderId="0" xfId="1" applyNumberFormat="1" applyFont="1"/>
    <xf numFmtId="0" fontId="4" fillId="2" borderId="0" xfId="0" applyFont="1" applyFill="1" applyAlignment="1">
      <alignment horizontal="center" vertical="center"/>
    </xf>
  </cellXfs>
  <cellStyles count="2">
    <cellStyle name="Normal" xfId="0" builtinId="0"/>
    <cellStyle name="Percent" xfId="1" builtinId="5"/>
  </cellStyles>
  <dxfs count="28">
    <dxf>
      <numFmt numFmtId="166" formatCode="[$$-409]#,##0"/>
    </dxf>
    <dxf>
      <numFmt numFmtId="166" formatCode="[$$-409]#,##0"/>
    </dxf>
    <dxf>
      <numFmt numFmtId="166" formatCode="[$$-409]#,##0"/>
    </dxf>
    <dxf>
      <numFmt numFmtId="166" formatCode="[$$-409]#,##0"/>
    </dxf>
    <dxf>
      <numFmt numFmtId="0" formatCode="General"/>
    </dxf>
    <dxf>
      <numFmt numFmtId="165" formatCode="[$$-409]#,##0.00"/>
    </dxf>
    <dxf>
      <numFmt numFmtId="165" formatCode="[$$-409]#,##0.00"/>
    </dxf>
    <dxf>
      <numFmt numFmtId="0" formatCode="General"/>
    </dxf>
    <dxf>
      <numFmt numFmtId="165" formatCode="[$$-409]#,##0.00"/>
    </dxf>
    <dxf>
      <numFmt numFmtId="2" formatCode="0.00"/>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1" tint="0.14996795556505021"/>
      </font>
    </dxf>
    <dxf>
      <fill>
        <patternFill>
          <bgColor theme="0"/>
        </patternFill>
      </fill>
    </dxf>
    <dxf>
      <font>
        <b/>
        <i val="0"/>
      </font>
      <fill>
        <patternFill>
          <bgColor theme="0"/>
        </patternFill>
      </fill>
    </dxf>
    <dxf>
      <fill>
        <patternFill>
          <bgColor theme="0"/>
        </patternFill>
      </fill>
      <border>
        <top style="thick">
          <color auto="1"/>
        </top>
        <bottom/>
        <horizontal style="thick">
          <color auto="1"/>
        </horizontal>
      </border>
    </dxf>
  </dxfs>
  <tableStyles count="3" defaultTableStyle="TableStyleMedium9" defaultPivotStyle="PivotStyleLight16">
    <tableStyle name="Slicer Style 1" pivot="0" table="0" count="1" xr9:uid="{52C4D72F-F96E-47AF-B3A8-91898C4E45AC}">
      <tableStyleElement type="wholeTable" dxfId="27"/>
    </tableStyle>
    <tableStyle name="Slicer Style 2" pivot="0" table="0" count="2" xr9:uid="{6A6A7881-92F2-4B81-B780-FF727D245AAE}">
      <tableStyleElement type="headerRow" dxfId="26"/>
    </tableStyle>
    <tableStyle name="Slicer Style 3" pivot="0" table="0" count="3" xr9:uid="{A8F0A5CE-6D67-4709-AFCC-223D3218F98C}">
      <tableStyleElement type="wholeTable" dxfId="25"/>
      <tableStyleElement type="headerRow" dxfId="24"/>
    </tableStyle>
  </tableStyles>
  <colors>
    <mruColors>
      <color rgb="FF8064A2"/>
      <color rgb="FF4F81BD"/>
    </mruColors>
  </colors>
  <extLst>
    <ext xmlns:x14="http://schemas.microsoft.com/office/spreadsheetml/2009/9/main" uri="{46F421CA-312F-682f-3DD2-61675219B42D}">
      <x14:dxfs count="2">
        <dxf>
          <font>
            <color theme="1"/>
          </font>
          <fill>
            <patternFill>
              <bgColor theme="0"/>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2024.xlsx]Monthly_Trends!PivotTable1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Revenue - 2024</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Monthly_Trends!$B$4:$B$16</c:f>
              <c:numCache>
                <c:formatCode>[$$-409]#,##0</c:formatCode>
                <c:ptCount val="12"/>
                <c:pt idx="0">
                  <c:v>113219.72815905954</c:v>
                </c:pt>
                <c:pt idx="1">
                  <c:v>99565.283878962204</c:v>
                </c:pt>
                <c:pt idx="2">
                  <c:v>110977.09415479196</c:v>
                </c:pt>
                <c:pt idx="3">
                  <c:v>115750.30260828316</c:v>
                </c:pt>
                <c:pt idx="4">
                  <c:v>118577.61965578914</c:v>
                </c:pt>
                <c:pt idx="5">
                  <c:v>111205.03674136283</c:v>
                </c:pt>
                <c:pt idx="6">
                  <c:v>113337.7393160677</c:v>
                </c:pt>
                <c:pt idx="7">
                  <c:v>125162.78459527473</c:v>
                </c:pt>
                <c:pt idx="8">
                  <c:v>118837.27851259016</c:v>
                </c:pt>
                <c:pt idx="9">
                  <c:v>124418.82289322038</c:v>
                </c:pt>
                <c:pt idx="10">
                  <c:v>110126.9493129279</c:v>
                </c:pt>
                <c:pt idx="11">
                  <c:v>120850.83270141172</c:v>
                </c:pt>
              </c:numCache>
            </c:numRef>
          </c:val>
          <c:smooth val="0"/>
          <c:extLst>
            <c:ext xmlns:c16="http://schemas.microsoft.com/office/drawing/2014/chart" uri="{C3380CC4-5D6E-409C-BE32-E72D297353CC}">
              <c16:uniqueId val="{00000000-6469-4871-8395-C83DE8AAF5D6}"/>
            </c:ext>
          </c:extLst>
        </c:ser>
        <c:dLbls>
          <c:showLegendKey val="0"/>
          <c:showVal val="0"/>
          <c:showCatName val="0"/>
          <c:showSerName val="0"/>
          <c:showPercent val="0"/>
          <c:showBubbleSize val="0"/>
        </c:dLbls>
        <c:marker val="1"/>
        <c:smooth val="0"/>
        <c:axId val="739518704"/>
        <c:axId val="739541264"/>
      </c:lineChart>
      <c:catAx>
        <c:axId val="73951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9541264"/>
        <c:crosses val="autoZero"/>
        <c:auto val="1"/>
        <c:lblAlgn val="ctr"/>
        <c:lblOffset val="100"/>
        <c:noMultiLvlLbl val="0"/>
      </c:catAx>
      <c:valAx>
        <c:axId val="739541264"/>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951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2024.xlsx]Conversion_Category!PivotTable2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Conversion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064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Conversion_Category!$B$3</c:f>
              <c:strCache>
                <c:ptCount val="1"/>
                <c:pt idx="0">
                  <c:v>Number of Agents</c:v>
                </c:pt>
              </c:strCache>
            </c:strRef>
          </c:tx>
          <c:spPr>
            <a:solidFill>
              <a:schemeClr val="accent1"/>
            </a:solidFill>
            <a:ln>
              <a:noFill/>
            </a:ln>
            <a:effectLst/>
          </c:spPr>
          <c:invertIfNegative val="0"/>
          <c:cat>
            <c:strRef>
              <c:f>Conversion_Category!$A$4:$A$6</c:f>
              <c:strCache>
                <c:ptCount val="2"/>
                <c:pt idx="0">
                  <c:v>High</c:v>
                </c:pt>
                <c:pt idx="1">
                  <c:v>Low</c:v>
                </c:pt>
              </c:strCache>
            </c:strRef>
          </c:cat>
          <c:val>
            <c:numRef>
              <c:f>Conversion_Category!$B$4:$B$6</c:f>
              <c:numCache>
                <c:formatCode>General</c:formatCode>
                <c:ptCount val="2"/>
                <c:pt idx="0">
                  <c:v>419</c:v>
                </c:pt>
                <c:pt idx="1">
                  <c:v>146</c:v>
                </c:pt>
              </c:numCache>
            </c:numRef>
          </c:val>
          <c:extLst>
            <c:ext xmlns:c16="http://schemas.microsoft.com/office/drawing/2014/chart" uri="{C3380CC4-5D6E-409C-BE32-E72D297353CC}">
              <c16:uniqueId val="{00000000-E398-4B96-87C8-B3F88579C3A9}"/>
            </c:ext>
          </c:extLst>
        </c:ser>
        <c:ser>
          <c:idx val="1"/>
          <c:order val="1"/>
          <c:tx>
            <c:strRef>
              <c:f>Conversion_Category!$C$3</c:f>
              <c:strCache>
                <c:ptCount val="1"/>
                <c:pt idx="0">
                  <c:v>Total Revenue</c:v>
                </c:pt>
              </c:strCache>
            </c:strRef>
          </c:tx>
          <c:spPr>
            <a:solidFill>
              <a:srgbClr val="8064A2"/>
            </a:solidFill>
            <a:ln>
              <a:noFill/>
            </a:ln>
            <a:effectLst/>
          </c:spPr>
          <c:invertIfNegative val="0"/>
          <c:cat>
            <c:strRef>
              <c:f>Conversion_Category!$A$4:$A$6</c:f>
              <c:strCache>
                <c:ptCount val="2"/>
                <c:pt idx="0">
                  <c:v>High</c:v>
                </c:pt>
                <c:pt idx="1">
                  <c:v>Low</c:v>
                </c:pt>
              </c:strCache>
            </c:strRef>
          </c:cat>
          <c:val>
            <c:numRef>
              <c:f>Conversion_Category!$C$4:$C$6</c:f>
              <c:numCache>
                <c:formatCode>[$$-409]#,##0</c:formatCode>
                <c:ptCount val="2"/>
                <c:pt idx="0">
                  <c:v>1041535.4333191921</c:v>
                </c:pt>
                <c:pt idx="1">
                  <c:v>340494.03921054961</c:v>
                </c:pt>
              </c:numCache>
            </c:numRef>
          </c:val>
          <c:extLst>
            <c:ext xmlns:c16="http://schemas.microsoft.com/office/drawing/2014/chart" uri="{C3380CC4-5D6E-409C-BE32-E72D297353CC}">
              <c16:uniqueId val="{00000001-E398-4B96-87C8-B3F88579C3A9}"/>
            </c:ext>
          </c:extLst>
        </c:ser>
        <c:dLbls>
          <c:showLegendKey val="0"/>
          <c:showVal val="0"/>
          <c:showCatName val="0"/>
          <c:showSerName val="0"/>
          <c:showPercent val="0"/>
          <c:showBubbleSize val="0"/>
        </c:dLbls>
        <c:gapWidth val="43"/>
        <c:overlap val="-28"/>
        <c:axId val="384284799"/>
        <c:axId val="384286719"/>
      </c:barChart>
      <c:catAx>
        <c:axId val="38428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4286719"/>
        <c:crosses val="autoZero"/>
        <c:auto val="1"/>
        <c:lblAlgn val="ctr"/>
        <c:lblOffset val="100"/>
        <c:noMultiLvlLbl val="0"/>
      </c:catAx>
      <c:valAx>
        <c:axId val="384286719"/>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428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2024.xlsx]Agent_Performance!PivotTable1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Agents by Total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Agent_Performance!$B$3</c:f>
              <c:strCache>
                <c:ptCount val="1"/>
                <c:pt idx="0">
                  <c:v> Total Calls</c:v>
                </c:pt>
              </c:strCache>
            </c:strRef>
          </c:tx>
          <c:spPr>
            <a:solidFill>
              <a:schemeClr val="accent1"/>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Agent_Performance!$B$4:$B$13</c:f>
              <c:numCache>
                <c:formatCode>General</c:formatCode>
                <c:ptCount val="10"/>
                <c:pt idx="0">
                  <c:v>893</c:v>
                </c:pt>
                <c:pt idx="1">
                  <c:v>608</c:v>
                </c:pt>
                <c:pt idx="2">
                  <c:v>344</c:v>
                </c:pt>
                <c:pt idx="3">
                  <c:v>582</c:v>
                </c:pt>
                <c:pt idx="4">
                  <c:v>614</c:v>
                </c:pt>
                <c:pt idx="5">
                  <c:v>438</c:v>
                </c:pt>
                <c:pt idx="6">
                  <c:v>435</c:v>
                </c:pt>
                <c:pt idx="7">
                  <c:v>578</c:v>
                </c:pt>
                <c:pt idx="8">
                  <c:v>530</c:v>
                </c:pt>
                <c:pt idx="9">
                  <c:v>402</c:v>
                </c:pt>
              </c:numCache>
            </c:numRef>
          </c:val>
          <c:extLst>
            <c:ext xmlns:c16="http://schemas.microsoft.com/office/drawing/2014/chart" uri="{C3380CC4-5D6E-409C-BE32-E72D297353CC}">
              <c16:uniqueId val="{00000000-94BA-4E80-A7D6-2C023C88EE34}"/>
            </c:ext>
          </c:extLst>
        </c:ser>
        <c:ser>
          <c:idx val="1"/>
          <c:order val="1"/>
          <c:tx>
            <c:strRef>
              <c:f>Agent_Performance!$C$3</c:f>
              <c:strCache>
                <c:ptCount val="1"/>
                <c:pt idx="0">
                  <c:v>Total Calls Reached</c:v>
                </c:pt>
              </c:strCache>
            </c:strRef>
          </c:tx>
          <c:spPr>
            <a:solidFill>
              <a:schemeClr val="accent2"/>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Agent_Performance!$C$4:$C$13</c:f>
              <c:numCache>
                <c:formatCode>General</c:formatCode>
                <c:ptCount val="10"/>
                <c:pt idx="0">
                  <c:v>600</c:v>
                </c:pt>
                <c:pt idx="1">
                  <c:v>307</c:v>
                </c:pt>
                <c:pt idx="2">
                  <c:v>163</c:v>
                </c:pt>
                <c:pt idx="3">
                  <c:v>319</c:v>
                </c:pt>
                <c:pt idx="4">
                  <c:v>187</c:v>
                </c:pt>
                <c:pt idx="5">
                  <c:v>262</c:v>
                </c:pt>
                <c:pt idx="6">
                  <c:v>249</c:v>
                </c:pt>
                <c:pt idx="7">
                  <c:v>331</c:v>
                </c:pt>
                <c:pt idx="8">
                  <c:v>184</c:v>
                </c:pt>
                <c:pt idx="9">
                  <c:v>230</c:v>
                </c:pt>
              </c:numCache>
            </c:numRef>
          </c:val>
          <c:extLst>
            <c:ext xmlns:c16="http://schemas.microsoft.com/office/drawing/2014/chart" uri="{C3380CC4-5D6E-409C-BE32-E72D297353CC}">
              <c16:uniqueId val="{00000001-94BA-4E80-A7D6-2C023C88EE34}"/>
            </c:ext>
          </c:extLst>
        </c:ser>
        <c:ser>
          <c:idx val="2"/>
          <c:order val="2"/>
          <c:tx>
            <c:strRef>
              <c:f>Agent_Performance!$D$3</c:f>
              <c:strCache>
                <c:ptCount val="1"/>
                <c:pt idx="0">
                  <c:v>Total Deals Closed</c:v>
                </c:pt>
              </c:strCache>
            </c:strRef>
          </c:tx>
          <c:spPr>
            <a:solidFill>
              <a:schemeClr val="accent3"/>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Agent_Performance!$D$4:$D$13</c:f>
              <c:numCache>
                <c:formatCode>General</c:formatCode>
                <c:ptCount val="10"/>
                <c:pt idx="0">
                  <c:v>175</c:v>
                </c:pt>
                <c:pt idx="1">
                  <c:v>102</c:v>
                </c:pt>
                <c:pt idx="2">
                  <c:v>102</c:v>
                </c:pt>
                <c:pt idx="3">
                  <c:v>155</c:v>
                </c:pt>
                <c:pt idx="4">
                  <c:v>106</c:v>
                </c:pt>
                <c:pt idx="5">
                  <c:v>83</c:v>
                </c:pt>
                <c:pt idx="6">
                  <c:v>101</c:v>
                </c:pt>
                <c:pt idx="7">
                  <c:v>268</c:v>
                </c:pt>
                <c:pt idx="8">
                  <c:v>90</c:v>
                </c:pt>
                <c:pt idx="9">
                  <c:v>105</c:v>
                </c:pt>
              </c:numCache>
            </c:numRef>
          </c:val>
          <c:extLst>
            <c:ext xmlns:c16="http://schemas.microsoft.com/office/drawing/2014/chart" uri="{C3380CC4-5D6E-409C-BE32-E72D297353CC}">
              <c16:uniqueId val="{00000002-94BA-4E80-A7D6-2C023C88EE34}"/>
            </c:ext>
          </c:extLst>
        </c:ser>
        <c:ser>
          <c:idx val="3"/>
          <c:order val="3"/>
          <c:tx>
            <c:strRef>
              <c:f>Agent_Performance!$E$3</c:f>
              <c:strCache>
                <c:ptCount val="1"/>
                <c:pt idx="0">
                  <c:v>Total Revenue</c:v>
                </c:pt>
              </c:strCache>
            </c:strRef>
          </c:tx>
          <c:spPr>
            <a:solidFill>
              <a:schemeClr val="accent4"/>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Agent_Performance!$E$4:$E$13</c:f>
              <c:numCache>
                <c:formatCode>[$$-409]#,##0</c:formatCode>
                <c:ptCount val="10"/>
                <c:pt idx="0">
                  <c:v>38339.314230363918</c:v>
                </c:pt>
                <c:pt idx="1">
                  <c:v>26752.778872740644</c:v>
                </c:pt>
                <c:pt idx="2">
                  <c:v>25138.26529062921</c:v>
                </c:pt>
                <c:pt idx="3">
                  <c:v>24225.983580286491</c:v>
                </c:pt>
                <c:pt idx="4">
                  <c:v>21462.786254456059</c:v>
                </c:pt>
                <c:pt idx="5">
                  <c:v>20383.562873339379</c:v>
                </c:pt>
                <c:pt idx="6">
                  <c:v>20227.957038136508</c:v>
                </c:pt>
                <c:pt idx="7">
                  <c:v>19939.984115798557</c:v>
                </c:pt>
                <c:pt idx="8">
                  <c:v>19354.3175726972</c:v>
                </c:pt>
                <c:pt idx="9">
                  <c:v>18996.401645461658</c:v>
                </c:pt>
              </c:numCache>
            </c:numRef>
          </c:val>
          <c:extLst>
            <c:ext xmlns:c16="http://schemas.microsoft.com/office/drawing/2014/chart" uri="{C3380CC4-5D6E-409C-BE32-E72D297353CC}">
              <c16:uniqueId val="{00000003-94BA-4E80-A7D6-2C023C88EE34}"/>
            </c:ext>
          </c:extLst>
        </c:ser>
        <c:ser>
          <c:idx val="4"/>
          <c:order val="4"/>
          <c:tx>
            <c:strRef>
              <c:f>Agent_Performance!$F$3</c:f>
              <c:strCache>
                <c:ptCount val="1"/>
                <c:pt idx="0">
                  <c:v>Avg Revenue per Deal</c:v>
                </c:pt>
              </c:strCache>
            </c:strRef>
          </c:tx>
          <c:spPr>
            <a:solidFill>
              <a:schemeClr val="accent5"/>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Agent_Performance!$F$4:$F$13</c:f>
              <c:numCache>
                <c:formatCode>[$$-409]#,##0.00</c:formatCode>
                <c:ptCount val="10"/>
                <c:pt idx="0">
                  <c:v>403.62550976810348</c:v>
                </c:pt>
                <c:pt idx="1">
                  <c:v>494.885891925203</c:v>
                </c:pt>
                <c:pt idx="2">
                  <c:v>396.60429793103248</c:v>
                </c:pt>
                <c:pt idx="3">
                  <c:v>304.798150114267</c:v>
                </c:pt>
                <c:pt idx="4">
                  <c:v>382.33075030768703</c:v>
                </c:pt>
                <c:pt idx="5">
                  <c:v>307.75351089061655</c:v>
                </c:pt>
                <c:pt idx="6">
                  <c:v>165.62329927321028</c:v>
                </c:pt>
                <c:pt idx="7">
                  <c:v>75.512415809758522</c:v>
                </c:pt>
                <c:pt idx="8">
                  <c:v>497.51700749488242</c:v>
                </c:pt>
                <c:pt idx="9">
                  <c:v>610.70558949110091</c:v>
                </c:pt>
              </c:numCache>
            </c:numRef>
          </c:val>
          <c:extLst>
            <c:ext xmlns:c16="http://schemas.microsoft.com/office/drawing/2014/chart" uri="{C3380CC4-5D6E-409C-BE32-E72D297353CC}">
              <c16:uniqueId val="{00000004-94BA-4E80-A7D6-2C023C88EE34}"/>
            </c:ext>
          </c:extLst>
        </c:ser>
        <c:ser>
          <c:idx val="5"/>
          <c:order val="5"/>
          <c:tx>
            <c:strRef>
              <c:f>Agent_Performance!$G$3</c:f>
              <c:strCache>
                <c:ptCount val="1"/>
                <c:pt idx="0">
                  <c:v>Avg Revenue per Call</c:v>
                </c:pt>
              </c:strCache>
            </c:strRef>
          </c:tx>
          <c:spPr>
            <a:solidFill>
              <a:schemeClr val="accent6"/>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Agent_Performance!$G$4:$G$13</c:f>
              <c:numCache>
                <c:formatCode>[$$-409]#,##0.00</c:formatCode>
                <c:ptCount val="10"/>
                <c:pt idx="0">
                  <c:v>42.947017563946012</c:v>
                </c:pt>
                <c:pt idx="1">
                  <c:v>47.550026629436822</c:v>
                </c:pt>
                <c:pt idx="2">
                  <c:v>80.143789919051812</c:v>
                </c:pt>
                <c:pt idx="3">
                  <c:v>40.05604835340587</c:v>
                </c:pt>
                <c:pt idx="4">
                  <c:v>36.261334369203091</c:v>
                </c:pt>
                <c:pt idx="5">
                  <c:v>48.149954713894054</c:v>
                </c:pt>
                <c:pt idx="6">
                  <c:v>48.592893685808939</c:v>
                </c:pt>
                <c:pt idx="7">
                  <c:v>34.864626973548951</c:v>
                </c:pt>
                <c:pt idx="8">
                  <c:v>37.793611213223087</c:v>
                </c:pt>
                <c:pt idx="9">
                  <c:v>47.925561151270635</c:v>
                </c:pt>
              </c:numCache>
            </c:numRef>
          </c:val>
          <c:extLst>
            <c:ext xmlns:c16="http://schemas.microsoft.com/office/drawing/2014/chart" uri="{C3380CC4-5D6E-409C-BE32-E72D297353CC}">
              <c16:uniqueId val="{00000005-94BA-4E80-A7D6-2C023C88EE34}"/>
            </c:ext>
          </c:extLst>
        </c:ser>
        <c:dLbls>
          <c:showLegendKey val="0"/>
          <c:showVal val="0"/>
          <c:showCatName val="0"/>
          <c:showSerName val="0"/>
          <c:showPercent val="0"/>
          <c:showBubbleSize val="0"/>
        </c:dLbls>
        <c:gapWidth val="43"/>
        <c:overlap val="100"/>
        <c:axId val="1255393583"/>
        <c:axId val="1255390223"/>
      </c:barChart>
      <c:catAx>
        <c:axId val="12553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5390223"/>
        <c:crosses val="autoZero"/>
        <c:auto val="1"/>
        <c:lblAlgn val="ctr"/>
        <c:lblOffset val="100"/>
        <c:noMultiLvlLbl val="0"/>
      </c:catAx>
      <c:valAx>
        <c:axId val="1255390223"/>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539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2024.xlsx]Monthly_Trends!PivotTable2</c:name>
    <c:fmtId val="9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Call Volume - 2024</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Monthly_Trends!$B$23:$B$35</c:f>
              <c:numCache>
                <c:formatCode>General</c:formatCode>
                <c:ptCount val="12"/>
                <c:pt idx="0">
                  <c:v>3209</c:v>
                </c:pt>
                <c:pt idx="1">
                  <c:v>3112</c:v>
                </c:pt>
                <c:pt idx="2">
                  <c:v>2958</c:v>
                </c:pt>
                <c:pt idx="3">
                  <c:v>3074</c:v>
                </c:pt>
                <c:pt idx="4">
                  <c:v>3151</c:v>
                </c:pt>
                <c:pt idx="5">
                  <c:v>2999</c:v>
                </c:pt>
                <c:pt idx="6">
                  <c:v>3113</c:v>
                </c:pt>
                <c:pt idx="7">
                  <c:v>3194</c:v>
                </c:pt>
                <c:pt idx="8">
                  <c:v>3148</c:v>
                </c:pt>
                <c:pt idx="9">
                  <c:v>3179</c:v>
                </c:pt>
                <c:pt idx="10">
                  <c:v>3003</c:v>
                </c:pt>
                <c:pt idx="11">
                  <c:v>3062</c:v>
                </c:pt>
              </c:numCache>
            </c:numRef>
          </c:val>
          <c:smooth val="0"/>
          <c:extLst>
            <c:ext xmlns:c16="http://schemas.microsoft.com/office/drawing/2014/chart" uri="{C3380CC4-5D6E-409C-BE32-E72D297353CC}">
              <c16:uniqueId val="{00000000-A2B7-4B7A-BF10-470CB0C1C80B}"/>
            </c:ext>
          </c:extLst>
        </c:ser>
        <c:dLbls>
          <c:showLegendKey val="0"/>
          <c:showVal val="0"/>
          <c:showCatName val="0"/>
          <c:showSerName val="0"/>
          <c:showPercent val="0"/>
          <c:showBubbleSize val="0"/>
        </c:dLbls>
        <c:marker val="1"/>
        <c:smooth val="0"/>
        <c:axId val="584339728"/>
        <c:axId val="584328208"/>
      </c:lineChart>
      <c:catAx>
        <c:axId val="58433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328208"/>
        <c:crosses val="autoZero"/>
        <c:auto val="1"/>
        <c:lblAlgn val="ctr"/>
        <c:lblOffset val="100"/>
        <c:noMultiLvlLbl val="0"/>
      </c:catAx>
      <c:valAx>
        <c:axId val="584328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33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2024.xlsx]Agent_Performance!PivotTable1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Agents by Total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8064A2"/>
          </a:soli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Agent_Performance!$B$3</c:f>
              <c:strCache>
                <c:ptCount val="1"/>
                <c:pt idx="0">
                  <c:v> Total Calls</c:v>
                </c:pt>
              </c:strCache>
            </c:strRef>
          </c:tx>
          <c:spPr>
            <a:solidFill>
              <a:schemeClr val="accent1"/>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Agent_Performance!$B$4:$B$13</c:f>
              <c:numCache>
                <c:formatCode>General</c:formatCode>
                <c:ptCount val="10"/>
                <c:pt idx="0">
                  <c:v>893</c:v>
                </c:pt>
                <c:pt idx="1">
                  <c:v>608</c:v>
                </c:pt>
                <c:pt idx="2">
                  <c:v>344</c:v>
                </c:pt>
                <c:pt idx="3">
                  <c:v>582</c:v>
                </c:pt>
                <c:pt idx="4">
                  <c:v>614</c:v>
                </c:pt>
                <c:pt idx="5">
                  <c:v>438</c:v>
                </c:pt>
                <c:pt idx="6">
                  <c:v>435</c:v>
                </c:pt>
                <c:pt idx="7">
                  <c:v>578</c:v>
                </c:pt>
                <c:pt idx="8">
                  <c:v>530</c:v>
                </c:pt>
                <c:pt idx="9">
                  <c:v>402</c:v>
                </c:pt>
              </c:numCache>
            </c:numRef>
          </c:val>
          <c:extLst>
            <c:ext xmlns:c16="http://schemas.microsoft.com/office/drawing/2014/chart" uri="{C3380CC4-5D6E-409C-BE32-E72D297353CC}">
              <c16:uniqueId val="{00000000-8519-41D5-8E1E-87EF8A05B6E3}"/>
            </c:ext>
          </c:extLst>
        </c:ser>
        <c:ser>
          <c:idx val="1"/>
          <c:order val="1"/>
          <c:tx>
            <c:strRef>
              <c:f>Agent_Performance!$C$3</c:f>
              <c:strCache>
                <c:ptCount val="1"/>
                <c:pt idx="0">
                  <c:v>Total Calls Reached</c:v>
                </c:pt>
              </c:strCache>
            </c:strRef>
          </c:tx>
          <c:spPr>
            <a:solidFill>
              <a:schemeClr val="accent2"/>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Agent_Performance!$C$4:$C$13</c:f>
              <c:numCache>
                <c:formatCode>General</c:formatCode>
                <c:ptCount val="10"/>
                <c:pt idx="0">
                  <c:v>600</c:v>
                </c:pt>
                <c:pt idx="1">
                  <c:v>307</c:v>
                </c:pt>
                <c:pt idx="2">
                  <c:v>163</c:v>
                </c:pt>
                <c:pt idx="3">
                  <c:v>319</c:v>
                </c:pt>
                <c:pt idx="4">
                  <c:v>187</c:v>
                </c:pt>
                <c:pt idx="5">
                  <c:v>262</c:v>
                </c:pt>
                <c:pt idx="6">
                  <c:v>249</c:v>
                </c:pt>
                <c:pt idx="7">
                  <c:v>331</c:v>
                </c:pt>
                <c:pt idx="8">
                  <c:v>184</c:v>
                </c:pt>
                <c:pt idx="9">
                  <c:v>230</c:v>
                </c:pt>
              </c:numCache>
            </c:numRef>
          </c:val>
          <c:extLst>
            <c:ext xmlns:c16="http://schemas.microsoft.com/office/drawing/2014/chart" uri="{C3380CC4-5D6E-409C-BE32-E72D297353CC}">
              <c16:uniqueId val="{00000001-8519-41D5-8E1E-87EF8A05B6E3}"/>
            </c:ext>
          </c:extLst>
        </c:ser>
        <c:ser>
          <c:idx val="2"/>
          <c:order val="2"/>
          <c:tx>
            <c:strRef>
              <c:f>Agent_Performance!$D$3</c:f>
              <c:strCache>
                <c:ptCount val="1"/>
                <c:pt idx="0">
                  <c:v>Total Deals Closed</c:v>
                </c:pt>
              </c:strCache>
            </c:strRef>
          </c:tx>
          <c:spPr>
            <a:solidFill>
              <a:schemeClr val="accent3"/>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Agent_Performance!$D$4:$D$13</c:f>
              <c:numCache>
                <c:formatCode>General</c:formatCode>
                <c:ptCount val="10"/>
                <c:pt idx="0">
                  <c:v>175</c:v>
                </c:pt>
                <c:pt idx="1">
                  <c:v>102</c:v>
                </c:pt>
                <c:pt idx="2">
                  <c:v>102</c:v>
                </c:pt>
                <c:pt idx="3">
                  <c:v>155</c:v>
                </c:pt>
                <c:pt idx="4">
                  <c:v>106</c:v>
                </c:pt>
                <c:pt idx="5">
                  <c:v>83</c:v>
                </c:pt>
                <c:pt idx="6">
                  <c:v>101</c:v>
                </c:pt>
                <c:pt idx="7">
                  <c:v>268</c:v>
                </c:pt>
                <c:pt idx="8">
                  <c:v>90</c:v>
                </c:pt>
                <c:pt idx="9">
                  <c:v>105</c:v>
                </c:pt>
              </c:numCache>
            </c:numRef>
          </c:val>
          <c:extLst>
            <c:ext xmlns:c16="http://schemas.microsoft.com/office/drawing/2014/chart" uri="{C3380CC4-5D6E-409C-BE32-E72D297353CC}">
              <c16:uniqueId val="{00000002-8519-41D5-8E1E-87EF8A05B6E3}"/>
            </c:ext>
          </c:extLst>
        </c:ser>
        <c:ser>
          <c:idx val="3"/>
          <c:order val="3"/>
          <c:tx>
            <c:strRef>
              <c:f>Agent_Performance!$E$3</c:f>
              <c:strCache>
                <c:ptCount val="1"/>
                <c:pt idx="0">
                  <c:v>Total Revenue</c:v>
                </c:pt>
              </c:strCache>
            </c:strRef>
          </c:tx>
          <c:spPr>
            <a:solidFill>
              <a:srgbClr val="8064A2"/>
            </a:solidFill>
            <a:ln w="12700">
              <a:solidFill>
                <a:schemeClr val="bg1">
                  <a:lumMod val="85000"/>
                </a:schemeClr>
              </a:solid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Agent_Performance!$E$4:$E$13</c:f>
              <c:numCache>
                <c:formatCode>[$$-409]#,##0</c:formatCode>
                <c:ptCount val="10"/>
                <c:pt idx="0">
                  <c:v>38339.314230363918</c:v>
                </c:pt>
                <c:pt idx="1">
                  <c:v>26752.778872740644</c:v>
                </c:pt>
                <c:pt idx="2">
                  <c:v>25138.26529062921</c:v>
                </c:pt>
                <c:pt idx="3">
                  <c:v>24225.983580286491</c:v>
                </c:pt>
                <c:pt idx="4">
                  <c:v>21462.786254456059</c:v>
                </c:pt>
                <c:pt idx="5">
                  <c:v>20383.562873339379</c:v>
                </c:pt>
                <c:pt idx="6">
                  <c:v>20227.957038136508</c:v>
                </c:pt>
                <c:pt idx="7">
                  <c:v>19939.984115798557</c:v>
                </c:pt>
                <c:pt idx="8">
                  <c:v>19354.3175726972</c:v>
                </c:pt>
                <c:pt idx="9">
                  <c:v>18996.401645461658</c:v>
                </c:pt>
              </c:numCache>
            </c:numRef>
          </c:val>
          <c:extLst>
            <c:ext xmlns:c16="http://schemas.microsoft.com/office/drawing/2014/chart" uri="{C3380CC4-5D6E-409C-BE32-E72D297353CC}">
              <c16:uniqueId val="{00000003-8519-41D5-8E1E-87EF8A05B6E3}"/>
            </c:ext>
          </c:extLst>
        </c:ser>
        <c:ser>
          <c:idx val="4"/>
          <c:order val="4"/>
          <c:tx>
            <c:strRef>
              <c:f>Agent_Performance!$F$3</c:f>
              <c:strCache>
                <c:ptCount val="1"/>
                <c:pt idx="0">
                  <c:v>Avg Revenue per Deal</c:v>
                </c:pt>
              </c:strCache>
            </c:strRef>
          </c:tx>
          <c:spPr>
            <a:solidFill>
              <a:schemeClr val="accent5"/>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Agent_Performance!$F$4:$F$13</c:f>
              <c:numCache>
                <c:formatCode>[$$-409]#,##0.00</c:formatCode>
                <c:ptCount val="10"/>
                <c:pt idx="0">
                  <c:v>403.62550976810348</c:v>
                </c:pt>
                <c:pt idx="1">
                  <c:v>494.885891925203</c:v>
                </c:pt>
                <c:pt idx="2">
                  <c:v>396.60429793103248</c:v>
                </c:pt>
                <c:pt idx="3">
                  <c:v>304.798150114267</c:v>
                </c:pt>
                <c:pt idx="4">
                  <c:v>382.33075030768703</c:v>
                </c:pt>
                <c:pt idx="5">
                  <c:v>307.75351089061655</c:v>
                </c:pt>
                <c:pt idx="6">
                  <c:v>165.62329927321028</c:v>
                </c:pt>
                <c:pt idx="7">
                  <c:v>75.512415809758522</c:v>
                </c:pt>
                <c:pt idx="8">
                  <c:v>497.51700749488242</c:v>
                </c:pt>
                <c:pt idx="9">
                  <c:v>610.70558949110091</c:v>
                </c:pt>
              </c:numCache>
            </c:numRef>
          </c:val>
          <c:extLst>
            <c:ext xmlns:c16="http://schemas.microsoft.com/office/drawing/2014/chart" uri="{C3380CC4-5D6E-409C-BE32-E72D297353CC}">
              <c16:uniqueId val="{00000004-8519-41D5-8E1E-87EF8A05B6E3}"/>
            </c:ext>
          </c:extLst>
        </c:ser>
        <c:ser>
          <c:idx val="5"/>
          <c:order val="5"/>
          <c:tx>
            <c:strRef>
              <c:f>Agent_Performance!$G$3</c:f>
              <c:strCache>
                <c:ptCount val="1"/>
                <c:pt idx="0">
                  <c:v>Avg Revenue per Call</c:v>
                </c:pt>
              </c:strCache>
            </c:strRef>
          </c:tx>
          <c:spPr>
            <a:solidFill>
              <a:schemeClr val="accent6"/>
            </a:solidFill>
            <a:ln>
              <a:noFill/>
            </a:ln>
            <a:effectLst/>
          </c:spPr>
          <c:invertIfNegative val="0"/>
          <c:cat>
            <c:strRef>
              <c:f>Agent_Performance!$A$4:$A$13</c:f>
              <c:strCache>
                <c:ptCount val="10"/>
                <c:pt idx="0">
                  <c:v>Evan Davis</c:v>
                </c:pt>
                <c:pt idx="1">
                  <c:v>Mimi Brown</c:v>
                </c:pt>
                <c:pt idx="2">
                  <c:v>Mimi Williams</c:v>
                </c:pt>
                <c:pt idx="3">
                  <c:v>Alice Smith</c:v>
                </c:pt>
                <c:pt idx="4">
                  <c:v>Evan Rodriguez</c:v>
                </c:pt>
                <c:pt idx="5">
                  <c:v>Anna Martinez</c:v>
                </c:pt>
                <c:pt idx="6">
                  <c:v>Chris Martinez</c:v>
                </c:pt>
                <c:pt idx="7">
                  <c:v>Jane Martinez</c:v>
                </c:pt>
                <c:pt idx="8">
                  <c:v>Alice Brown</c:v>
                </c:pt>
                <c:pt idx="9">
                  <c:v>Chris Garcia</c:v>
                </c:pt>
              </c:strCache>
            </c:strRef>
          </c:cat>
          <c:val>
            <c:numRef>
              <c:f>Agent_Performance!$G$4:$G$13</c:f>
              <c:numCache>
                <c:formatCode>[$$-409]#,##0.00</c:formatCode>
                <c:ptCount val="10"/>
                <c:pt idx="0">
                  <c:v>42.947017563946012</c:v>
                </c:pt>
                <c:pt idx="1">
                  <c:v>47.550026629436822</c:v>
                </c:pt>
                <c:pt idx="2">
                  <c:v>80.143789919051812</c:v>
                </c:pt>
                <c:pt idx="3">
                  <c:v>40.05604835340587</c:v>
                </c:pt>
                <c:pt idx="4">
                  <c:v>36.261334369203091</c:v>
                </c:pt>
                <c:pt idx="5">
                  <c:v>48.149954713894054</c:v>
                </c:pt>
                <c:pt idx="6">
                  <c:v>48.592893685808939</c:v>
                </c:pt>
                <c:pt idx="7">
                  <c:v>34.864626973548951</c:v>
                </c:pt>
                <c:pt idx="8">
                  <c:v>37.793611213223087</c:v>
                </c:pt>
                <c:pt idx="9">
                  <c:v>47.925561151270635</c:v>
                </c:pt>
              </c:numCache>
            </c:numRef>
          </c:val>
          <c:extLst>
            <c:ext xmlns:c16="http://schemas.microsoft.com/office/drawing/2014/chart" uri="{C3380CC4-5D6E-409C-BE32-E72D297353CC}">
              <c16:uniqueId val="{00000005-8519-41D5-8E1E-87EF8A05B6E3}"/>
            </c:ext>
          </c:extLst>
        </c:ser>
        <c:dLbls>
          <c:showLegendKey val="0"/>
          <c:showVal val="0"/>
          <c:showCatName val="0"/>
          <c:showSerName val="0"/>
          <c:showPercent val="0"/>
          <c:showBubbleSize val="0"/>
        </c:dLbls>
        <c:gapWidth val="40"/>
        <c:overlap val="100"/>
        <c:axId val="1255393583"/>
        <c:axId val="1255390223"/>
      </c:barChart>
      <c:catAx>
        <c:axId val="12553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34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5390223"/>
        <c:crosses val="autoZero"/>
        <c:auto val="1"/>
        <c:lblAlgn val="ctr"/>
        <c:lblOffset val="100"/>
        <c:noMultiLvlLbl val="0"/>
      </c:catAx>
      <c:valAx>
        <c:axId val="1255390223"/>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539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2024.xlsx]Conversion_Category!PivotTable2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Revenue by Conversion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064A2"/>
          </a:solidFill>
          <a:ln w="1270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Conversion_Category!$B$3</c:f>
              <c:strCache>
                <c:ptCount val="1"/>
                <c:pt idx="0">
                  <c:v>Number of Agents</c:v>
                </c:pt>
              </c:strCache>
            </c:strRef>
          </c:tx>
          <c:spPr>
            <a:solidFill>
              <a:schemeClr val="accent1"/>
            </a:solidFill>
            <a:ln>
              <a:noFill/>
            </a:ln>
            <a:effectLst/>
          </c:spPr>
          <c:invertIfNegative val="0"/>
          <c:cat>
            <c:strRef>
              <c:f>Conversion_Category!$A$4:$A$6</c:f>
              <c:strCache>
                <c:ptCount val="2"/>
                <c:pt idx="0">
                  <c:v>High</c:v>
                </c:pt>
                <c:pt idx="1">
                  <c:v>Low</c:v>
                </c:pt>
              </c:strCache>
            </c:strRef>
          </c:cat>
          <c:val>
            <c:numRef>
              <c:f>Conversion_Category!$B$4:$B$6</c:f>
              <c:numCache>
                <c:formatCode>General</c:formatCode>
                <c:ptCount val="2"/>
                <c:pt idx="0">
                  <c:v>419</c:v>
                </c:pt>
                <c:pt idx="1">
                  <c:v>146</c:v>
                </c:pt>
              </c:numCache>
            </c:numRef>
          </c:val>
          <c:extLst>
            <c:ext xmlns:c16="http://schemas.microsoft.com/office/drawing/2014/chart" uri="{C3380CC4-5D6E-409C-BE32-E72D297353CC}">
              <c16:uniqueId val="{00000000-9BE1-4ADA-B8A6-A7E0363075AC}"/>
            </c:ext>
          </c:extLst>
        </c:ser>
        <c:ser>
          <c:idx val="1"/>
          <c:order val="1"/>
          <c:tx>
            <c:strRef>
              <c:f>Conversion_Category!$C$3</c:f>
              <c:strCache>
                <c:ptCount val="1"/>
                <c:pt idx="0">
                  <c:v>Total Revenue</c:v>
                </c:pt>
              </c:strCache>
            </c:strRef>
          </c:tx>
          <c:spPr>
            <a:solidFill>
              <a:srgbClr val="8064A2"/>
            </a:solidFill>
            <a:ln w="12700">
              <a:solidFill>
                <a:schemeClr val="bg1">
                  <a:lumMod val="85000"/>
                </a:schemeClr>
              </a:solidFill>
            </a:ln>
            <a:effectLst/>
          </c:spPr>
          <c:invertIfNegative val="0"/>
          <c:cat>
            <c:strRef>
              <c:f>Conversion_Category!$A$4:$A$6</c:f>
              <c:strCache>
                <c:ptCount val="2"/>
                <c:pt idx="0">
                  <c:v>High</c:v>
                </c:pt>
                <c:pt idx="1">
                  <c:v>Low</c:v>
                </c:pt>
              </c:strCache>
            </c:strRef>
          </c:cat>
          <c:val>
            <c:numRef>
              <c:f>Conversion_Category!$C$4:$C$6</c:f>
              <c:numCache>
                <c:formatCode>[$$-409]#,##0</c:formatCode>
                <c:ptCount val="2"/>
                <c:pt idx="0">
                  <c:v>1041535.4333191921</c:v>
                </c:pt>
                <c:pt idx="1">
                  <c:v>340494.03921054961</c:v>
                </c:pt>
              </c:numCache>
            </c:numRef>
          </c:val>
          <c:extLst>
            <c:ext xmlns:c16="http://schemas.microsoft.com/office/drawing/2014/chart" uri="{C3380CC4-5D6E-409C-BE32-E72D297353CC}">
              <c16:uniqueId val="{00000001-9BE1-4ADA-B8A6-A7E0363075AC}"/>
            </c:ext>
          </c:extLst>
        </c:ser>
        <c:dLbls>
          <c:showLegendKey val="0"/>
          <c:showVal val="0"/>
          <c:showCatName val="0"/>
          <c:showSerName val="0"/>
          <c:showPercent val="0"/>
          <c:showBubbleSize val="0"/>
        </c:dLbls>
        <c:gapWidth val="43"/>
        <c:overlap val="-28"/>
        <c:axId val="384284799"/>
        <c:axId val="384286719"/>
      </c:barChart>
      <c:catAx>
        <c:axId val="38428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4286719"/>
        <c:crosses val="autoZero"/>
        <c:auto val="1"/>
        <c:lblAlgn val="ctr"/>
        <c:lblOffset val="100"/>
        <c:noMultiLvlLbl val="0"/>
      </c:catAx>
      <c:valAx>
        <c:axId val="384286719"/>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428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2024.xlsx]Monthly_Trends!PivotTable1</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Revenue - 2024</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Monthly_Trends!$B$4:$B$16</c:f>
              <c:numCache>
                <c:formatCode>[$$-409]#,##0</c:formatCode>
                <c:ptCount val="12"/>
                <c:pt idx="0">
                  <c:v>113219.72815905954</c:v>
                </c:pt>
                <c:pt idx="1">
                  <c:v>99565.283878962204</c:v>
                </c:pt>
                <c:pt idx="2">
                  <c:v>110977.09415479196</c:v>
                </c:pt>
                <c:pt idx="3">
                  <c:v>115750.30260828316</c:v>
                </c:pt>
                <c:pt idx="4">
                  <c:v>118577.61965578914</c:v>
                </c:pt>
                <c:pt idx="5">
                  <c:v>111205.03674136283</c:v>
                </c:pt>
                <c:pt idx="6">
                  <c:v>113337.7393160677</c:v>
                </c:pt>
                <c:pt idx="7">
                  <c:v>125162.78459527473</c:v>
                </c:pt>
                <c:pt idx="8">
                  <c:v>118837.27851259016</c:v>
                </c:pt>
                <c:pt idx="9">
                  <c:v>124418.82289322038</c:v>
                </c:pt>
                <c:pt idx="10">
                  <c:v>110126.9493129279</c:v>
                </c:pt>
                <c:pt idx="11">
                  <c:v>120850.83270141172</c:v>
                </c:pt>
              </c:numCache>
            </c:numRef>
          </c:val>
          <c:smooth val="0"/>
          <c:extLst>
            <c:ext xmlns:c16="http://schemas.microsoft.com/office/drawing/2014/chart" uri="{C3380CC4-5D6E-409C-BE32-E72D297353CC}">
              <c16:uniqueId val="{00000000-CB30-44AE-81C4-51D480FC9A8A}"/>
            </c:ext>
          </c:extLst>
        </c:ser>
        <c:dLbls>
          <c:showLegendKey val="0"/>
          <c:showVal val="0"/>
          <c:showCatName val="0"/>
          <c:showSerName val="0"/>
          <c:showPercent val="0"/>
          <c:showBubbleSize val="0"/>
        </c:dLbls>
        <c:marker val="1"/>
        <c:smooth val="0"/>
        <c:axId val="739518704"/>
        <c:axId val="739541264"/>
      </c:lineChart>
      <c:catAx>
        <c:axId val="73951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9541264"/>
        <c:crosses val="autoZero"/>
        <c:auto val="1"/>
        <c:lblAlgn val="ctr"/>
        <c:lblOffset val="100"/>
        <c:noMultiLvlLbl val="0"/>
      </c:catAx>
      <c:valAx>
        <c:axId val="739541264"/>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951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2024.xlsx]Monthly_Trends!PivotTable2</c:name>
    <c:fmtId val="9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Call Volume - 2024</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Monthly_Trends!$A$23:$A$35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Monthly_Trends!$B$23:$B$35</c:f>
              <c:numCache>
                <c:formatCode>General</c:formatCode>
                <c:ptCount val="12"/>
                <c:pt idx="0">
                  <c:v>3209</c:v>
                </c:pt>
                <c:pt idx="1">
                  <c:v>3112</c:v>
                </c:pt>
                <c:pt idx="2">
                  <c:v>2958</c:v>
                </c:pt>
                <c:pt idx="3">
                  <c:v>3074</c:v>
                </c:pt>
                <c:pt idx="4">
                  <c:v>3151</c:v>
                </c:pt>
                <c:pt idx="5">
                  <c:v>2999</c:v>
                </c:pt>
                <c:pt idx="6">
                  <c:v>3113</c:v>
                </c:pt>
                <c:pt idx="7">
                  <c:v>3194</c:v>
                </c:pt>
                <c:pt idx="8">
                  <c:v>3148</c:v>
                </c:pt>
                <c:pt idx="9">
                  <c:v>3179</c:v>
                </c:pt>
                <c:pt idx="10">
                  <c:v>3003</c:v>
                </c:pt>
                <c:pt idx="11">
                  <c:v>3062</c:v>
                </c:pt>
              </c:numCache>
            </c:numRef>
          </c:val>
          <c:smooth val="0"/>
          <c:extLst>
            <c:ext xmlns:c16="http://schemas.microsoft.com/office/drawing/2014/chart" uri="{C3380CC4-5D6E-409C-BE32-E72D297353CC}">
              <c16:uniqueId val="{00000000-0BE6-4D91-B692-E48D2F30FC6C}"/>
            </c:ext>
          </c:extLst>
        </c:ser>
        <c:dLbls>
          <c:showLegendKey val="0"/>
          <c:showVal val="0"/>
          <c:showCatName val="0"/>
          <c:showSerName val="0"/>
          <c:showPercent val="0"/>
          <c:showBubbleSize val="0"/>
        </c:dLbls>
        <c:marker val="1"/>
        <c:smooth val="0"/>
        <c:axId val="584339728"/>
        <c:axId val="584328208"/>
      </c:lineChart>
      <c:catAx>
        <c:axId val="584339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328208"/>
        <c:crosses val="autoZero"/>
        <c:auto val="1"/>
        <c:lblAlgn val="ctr"/>
        <c:lblOffset val="100"/>
        <c:noMultiLvlLbl val="0"/>
      </c:catAx>
      <c:valAx>
        <c:axId val="5843282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33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bg1">
          <a:lumMod val="85000"/>
        </a:schemeClr>
      </a:solidFill>
      <a:round/>
    </a:ln>
    <a:effectLst>
      <a:outerShdw blurRad="50800" dist="50800" dir="5400000" algn="ctr" rotWithShape="0">
        <a:schemeClr val="bg1">
          <a:lumMod val="50000"/>
          <a:alpha val="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381000</xdr:colOff>
      <xdr:row>13</xdr:row>
      <xdr:rowOff>0</xdr:rowOff>
    </xdr:to>
    <xdr:graphicFrame macro="">
      <xdr:nvGraphicFramePr>
        <xdr:cNvPr id="2" name="Chart 1">
          <a:extLst>
            <a:ext uri="{FF2B5EF4-FFF2-40B4-BE49-F238E27FC236}">
              <a16:creationId xmlns:a16="http://schemas.microsoft.com/office/drawing/2014/main" id="{E7387829-1906-4F53-AF85-D6D13183D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457200</xdr:colOff>
      <xdr:row>13</xdr:row>
      <xdr:rowOff>57150</xdr:rowOff>
    </xdr:from>
    <xdr:to>
      <xdr:col>20</xdr:col>
      <xdr:colOff>314325</xdr:colOff>
      <xdr:row>30</xdr:row>
      <xdr:rowOff>123825</xdr:rowOff>
    </xdr:to>
    <xdr:graphicFrame macro="">
      <xdr:nvGraphicFramePr>
        <xdr:cNvPr id="5" name="Chart 4">
          <a:extLst>
            <a:ext uri="{FF2B5EF4-FFF2-40B4-BE49-F238E27FC236}">
              <a16:creationId xmlns:a16="http://schemas.microsoft.com/office/drawing/2014/main" id="{5533E390-0954-4B05-9CC5-B65477391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57150</xdr:rowOff>
    </xdr:from>
    <xdr:to>
      <xdr:col>10</xdr:col>
      <xdr:colOff>390524</xdr:colOff>
      <xdr:row>30</xdr:row>
      <xdr:rowOff>123825</xdr:rowOff>
    </xdr:to>
    <xdr:graphicFrame macro="">
      <xdr:nvGraphicFramePr>
        <xdr:cNvPr id="4" name="Chart 3">
          <a:extLst>
            <a:ext uri="{FF2B5EF4-FFF2-40B4-BE49-F238E27FC236}">
              <a16:creationId xmlns:a16="http://schemas.microsoft.com/office/drawing/2014/main" id="{B6FD25FC-BF09-4568-B917-FA2AE5BBC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447675</xdr:colOff>
      <xdr:row>0</xdr:row>
      <xdr:rowOff>0</xdr:rowOff>
    </xdr:from>
    <xdr:to>
      <xdr:col>20</xdr:col>
      <xdr:colOff>295275</xdr:colOff>
      <xdr:row>12</xdr:row>
      <xdr:rowOff>180975</xdr:rowOff>
    </xdr:to>
    <xdr:graphicFrame macro="">
      <xdr:nvGraphicFramePr>
        <xdr:cNvPr id="3" name="Chart 2">
          <a:extLst>
            <a:ext uri="{FF2B5EF4-FFF2-40B4-BE49-F238E27FC236}">
              <a16:creationId xmlns:a16="http://schemas.microsoft.com/office/drawing/2014/main" id="{86B2F100-5B19-425A-A45B-368AA9965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26841</xdr:colOff>
      <xdr:row>2</xdr:row>
      <xdr:rowOff>131693</xdr:rowOff>
    </xdr:from>
    <xdr:to>
      <xdr:col>1</xdr:col>
      <xdr:colOff>457200</xdr:colOff>
      <xdr:row>5</xdr:row>
      <xdr:rowOff>158613</xdr:rowOff>
    </xdr:to>
    <xdr:sp macro="" textlink="">
      <xdr:nvSpPr>
        <xdr:cNvPr id="2" name="Rectangle: Rounded Corners 1">
          <a:extLst>
            <a:ext uri="{FF2B5EF4-FFF2-40B4-BE49-F238E27FC236}">
              <a16:creationId xmlns:a16="http://schemas.microsoft.com/office/drawing/2014/main" id="{A5EA987B-103A-15BC-73F5-B375FB31A84D}"/>
            </a:ext>
          </a:extLst>
        </xdr:cNvPr>
        <xdr:cNvSpPr/>
      </xdr:nvSpPr>
      <xdr:spPr>
        <a:xfrm>
          <a:off x="26841" y="512693"/>
          <a:ext cx="1039959" cy="59842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solidFill>
                <a:schemeClr val="tx1"/>
              </a:solidFill>
            </a:rPr>
            <a:t>Total Calls</a:t>
          </a:r>
        </a:p>
      </xdr:txBody>
    </xdr:sp>
    <xdr:clientData/>
  </xdr:twoCellAnchor>
  <xdr:twoCellAnchor>
    <xdr:from>
      <xdr:col>10</xdr:col>
      <xdr:colOff>360294</xdr:colOff>
      <xdr:row>2</xdr:row>
      <xdr:rowOff>62533</xdr:rowOff>
    </xdr:from>
    <xdr:to>
      <xdr:col>13</xdr:col>
      <xdr:colOff>273326</xdr:colOff>
      <xdr:row>5</xdr:row>
      <xdr:rowOff>128794</xdr:rowOff>
    </xdr:to>
    <xdr:sp macro="" textlink="">
      <xdr:nvSpPr>
        <xdr:cNvPr id="7" name="Rectangle: Rounded Corners 6">
          <a:extLst>
            <a:ext uri="{FF2B5EF4-FFF2-40B4-BE49-F238E27FC236}">
              <a16:creationId xmlns:a16="http://schemas.microsoft.com/office/drawing/2014/main" id="{19BE5823-D566-4F57-8B43-FDC3393E1830}"/>
            </a:ext>
          </a:extLst>
        </xdr:cNvPr>
        <xdr:cNvSpPr/>
      </xdr:nvSpPr>
      <xdr:spPr>
        <a:xfrm>
          <a:off x="6456294" y="443533"/>
          <a:ext cx="1741832" cy="637761"/>
        </a:xfrm>
        <a:prstGeom prst="roundRect">
          <a:avLst/>
        </a:prstGeom>
        <a:solidFill>
          <a:schemeClr val="bg1"/>
        </a:solidFill>
        <a:ln w="25400">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0">
              <a:solidFill>
                <a:sysClr val="windowText" lastClr="000000"/>
              </a:solidFill>
            </a:rPr>
            <a:t>Overall Conversion Rate</a:t>
          </a:r>
        </a:p>
      </xdr:txBody>
    </xdr:sp>
    <xdr:clientData/>
  </xdr:twoCellAnchor>
  <xdr:twoCellAnchor>
    <xdr:from>
      <xdr:col>3</xdr:col>
      <xdr:colOff>506700</xdr:colOff>
      <xdr:row>2</xdr:row>
      <xdr:rowOff>132522</xdr:rowOff>
    </xdr:from>
    <xdr:to>
      <xdr:col>5</xdr:col>
      <xdr:colOff>495300</xdr:colOff>
      <xdr:row>5</xdr:row>
      <xdr:rowOff>157369</xdr:rowOff>
    </xdr:to>
    <xdr:sp macro="" textlink="">
      <xdr:nvSpPr>
        <xdr:cNvPr id="8" name="Rectangle: Rounded Corners 7">
          <a:extLst>
            <a:ext uri="{FF2B5EF4-FFF2-40B4-BE49-F238E27FC236}">
              <a16:creationId xmlns:a16="http://schemas.microsoft.com/office/drawing/2014/main" id="{AE78B469-42F6-4E31-A2F2-824116649F29}"/>
            </a:ext>
          </a:extLst>
        </xdr:cNvPr>
        <xdr:cNvSpPr/>
      </xdr:nvSpPr>
      <xdr:spPr>
        <a:xfrm>
          <a:off x="2335500" y="513522"/>
          <a:ext cx="1207800" cy="596347"/>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solidFill>
                <a:sysClr val="windowText" lastClr="000000"/>
              </a:solidFill>
            </a:rPr>
            <a:t>Deals Closed</a:t>
          </a:r>
        </a:p>
      </xdr:txBody>
    </xdr:sp>
    <xdr:clientData/>
  </xdr:twoCellAnchor>
  <xdr:twoCellAnchor>
    <xdr:from>
      <xdr:col>5</xdr:col>
      <xdr:colOff>590550</xdr:colOff>
      <xdr:row>2</xdr:row>
      <xdr:rowOff>142875</xdr:rowOff>
    </xdr:from>
    <xdr:to>
      <xdr:col>8</xdr:col>
      <xdr:colOff>152400</xdr:colOff>
      <xdr:row>5</xdr:row>
      <xdr:rowOff>161925</xdr:rowOff>
    </xdr:to>
    <xdr:sp macro="" textlink="">
      <xdr:nvSpPr>
        <xdr:cNvPr id="9" name="Rectangle: Rounded Corners 8">
          <a:extLst>
            <a:ext uri="{FF2B5EF4-FFF2-40B4-BE49-F238E27FC236}">
              <a16:creationId xmlns:a16="http://schemas.microsoft.com/office/drawing/2014/main" id="{3B5988F0-D1CB-490F-828F-015286898135}"/>
            </a:ext>
          </a:extLst>
        </xdr:cNvPr>
        <xdr:cNvSpPr/>
      </xdr:nvSpPr>
      <xdr:spPr>
        <a:xfrm>
          <a:off x="3638550" y="523875"/>
          <a:ext cx="1390650" cy="5905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solidFill>
                <a:sysClr val="windowText" lastClr="000000"/>
              </a:solidFill>
            </a:rPr>
            <a:t>Total Revenue</a:t>
          </a:r>
        </a:p>
      </xdr:txBody>
    </xdr:sp>
    <xdr:clientData/>
  </xdr:twoCellAnchor>
  <xdr:twoCellAnchor>
    <xdr:from>
      <xdr:col>1</xdr:col>
      <xdr:colOff>523875</xdr:colOff>
      <xdr:row>2</xdr:row>
      <xdr:rowOff>122171</xdr:rowOff>
    </xdr:from>
    <xdr:to>
      <xdr:col>3</xdr:col>
      <xdr:colOff>419100</xdr:colOff>
      <xdr:row>5</xdr:row>
      <xdr:rowOff>157371</xdr:rowOff>
    </xdr:to>
    <xdr:sp macro="" textlink="">
      <xdr:nvSpPr>
        <xdr:cNvPr id="10" name="Rectangle: Rounded Corners 9">
          <a:extLst>
            <a:ext uri="{FF2B5EF4-FFF2-40B4-BE49-F238E27FC236}">
              <a16:creationId xmlns:a16="http://schemas.microsoft.com/office/drawing/2014/main" id="{E50FFF7C-2C9C-48BB-AEAD-294329F2565D}"/>
            </a:ext>
          </a:extLst>
        </xdr:cNvPr>
        <xdr:cNvSpPr/>
      </xdr:nvSpPr>
      <xdr:spPr>
        <a:xfrm>
          <a:off x="1133475" y="503171"/>
          <a:ext cx="1114425" cy="60670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solidFill>
                <a:sysClr val="windowText" lastClr="000000"/>
              </a:solidFill>
            </a:rPr>
            <a:t>Calls Reached</a:t>
          </a:r>
        </a:p>
      </xdr:txBody>
    </xdr:sp>
    <xdr:clientData/>
  </xdr:twoCellAnchor>
  <xdr:twoCellAnchor>
    <xdr:from>
      <xdr:col>6</xdr:col>
      <xdr:colOff>76201</xdr:colOff>
      <xdr:row>2</xdr:row>
      <xdr:rowOff>190499</xdr:rowOff>
    </xdr:from>
    <xdr:to>
      <xdr:col>8</xdr:col>
      <xdr:colOff>142875</xdr:colOff>
      <xdr:row>4</xdr:row>
      <xdr:rowOff>112642</xdr:rowOff>
    </xdr:to>
    <xdr:sp macro="" textlink="KPI_Summary!B5">
      <xdr:nvSpPr>
        <xdr:cNvPr id="13" name="TextBox 12">
          <a:extLst>
            <a:ext uri="{FF2B5EF4-FFF2-40B4-BE49-F238E27FC236}">
              <a16:creationId xmlns:a16="http://schemas.microsoft.com/office/drawing/2014/main" id="{80C3638D-BBCE-492F-A497-7913A956AEA6}"/>
            </a:ext>
          </a:extLst>
        </xdr:cNvPr>
        <xdr:cNvSpPr txBox="1"/>
      </xdr:nvSpPr>
      <xdr:spPr>
        <a:xfrm>
          <a:off x="3733801" y="571499"/>
          <a:ext cx="1285874" cy="30314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C1809F-CAD2-4488-804D-7716F931AACE}" type="TxLink">
            <a:rPr lang="en-US" sz="1800" b="1" i="0" u="none" strike="noStrike">
              <a:solidFill>
                <a:srgbClr val="000000"/>
              </a:solidFill>
              <a:latin typeface="Calibri"/>
              <a:cs typeface="Calibri"/>
            </a:rPr>
            <a:pPr algn="ctr"/>
            <a:t>$1,382,029</a:t>
          </a:fld>
          <a:endParaRPr lang="en-US" sz="1800" b="1"/>
        </a:p>
      </xdr:txBody>
    </xdr:sp>
    <xdr:clientData/>
  </xdr:twoCellAnchor>
  <xdr:twoCellAnchor>
    <xdr:from>
      <xdr:col>1</xdr:col>
      <xdr:colOff>601730</xdr:colOff>
      <xdr:row>3</xdr:row>
      <xdr:rowOff>0</xdr:rowOff>
    </xdr:from>
    <xdr:to>
      <xdr:col>3</xdr:col>
      <xdr:colOff>322192</xdr:colOff>
      <xdr:row>4</xdr:row>
      <xdr:rowOff>101461</xdr:rowOff>
    </xdr:to>
    <xdr:sp macro="" textlink="KPI_Summary!B3">
      <xdr:nvSpPr>
        <xdr:cNvPr id="3" name="TextBox 2">
          <a:extLst>
            <a:ext uri="{FF2B5EF4-FFF2-40B4-BE49-F238E27FC236}">
              <a16:creationId xmlns:a16="http://schemas.microsoft.com/office/drawing/2014/main" id="{3DE042DD-46B9-46C9-8681-30CDB7C0ABAE}"/>
            </a:ext>
          </a:extLst>
        </xdr:cNvPr>
        <xdr:cNvSpPr txBox="1"/>
      </xdr:nvSpPr>
      <xdr:spPr>
        <a:xfrm>
          <a:off x="1211330" y="571500"/>
          <a:ext cx="939662" cy="2919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66ED288-FABC-4BDF-AE4F-888001F02616}" type="TxLink">
            <a:rPr lang="en-US" sz="1800" b="1" i="0" u="none" strike="noStrike">
              <a:solidFill>
                <a:srgbClr val="000000"/>
              </a:solidFill>
              <a:latin typeface="Calibri"/>
              <a:cs typeface="Calibri"/>
            </a:rPr>
            <a:pPr algn="ctr"/>
            <a:t>15177</a:t>
          </a:fld>
          <a:endParaRPr lang="en-US" sz="1800" b="1"/>
        </a:p>
      </xdr:txBody>
    </xdr:sp>
    <xdr:clientData/>
  </xdr:twoCellAnchor>
  <xdr:twoCellAnchor>
    <xdr:from>
      <xdr:col>11</xdr:col>
      <xdr:colOff>63777</xdr:colOff>
      <xdr:row>2</xdr:row>
      <xdr:rowOff>176832</xdr:rowOff>
    </xdr:from>
    <xdr:to>
      <xdr:col>12</xdr:col>
      <xdr:colOff>397152</xdr:colOff>
      <xdr:row>4</xdr:row>
      <xdr:rowOff>53007</xdr:rowOff>
    </xdr:to>
    <xdr:sp macro="" textlink="KPI_Summary!B6">
      <xdr:nvSpPr>
        <xdr:cNvPr id="4" name="TextBox 3">
          <a:extLst>
            <a:ext uri="{FF2B5EF4-FFF2-40B4-BE49-F238E27FC236}">
              <a16:creationId xmlns:a16="http://schemas.microsoft.com/office/drawing/2014/main" id="{A250F4D4-5B80-4E70-9123-C775C6FACE74}"/>
            </a:ext>
          </a:extLst>
        </xdr:cNvPr>
        <xdr:cNvSpPr txBox="1"/>
      </xdr:nvSpPr>
      <xdr:spPr>
        <a:xfrm>
          <a:off x="6769377" y="557832"/>
          <a:ext cx="94297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F06E6D-BE2E-40AB-9F30-D8C4B2BA4F0D}" type="TxLink">
            <a:rPr lang="en-US" sz="1800" b="1" i="0" u="none" strike="noStrike">
              <a:solidFill>
                <a:srgbClr val="000000"/>
              </a:solidFill>
              <a:latin typeface="Calibri"/>
              <a:cs typeface="Calibri"/>
            </a:rPr>
            <a:pPr algn="ctr"/>
            <a:t>43.06%</a:t>
          </a:fld>
          <a:endParaRPr lang="en-US" sz="1800" b="1"/>
        </a:p>
      </xdr:txBody>
    </xdr:sp>
    <xdr:clientData/>
  </xdr:twoCellAnchor>
  <xdr:twoCellAnchor>
    <xdr:from>
      <xdr:col>4</xdr:col>
      <xdr:colOff>39342</xdr:colOff>
      <xdr:row>3</xdr:row>
      <xdr:rowOff>28575</xdr:rowOff>
    </xdr:from>
    <xdr:to>
      <xdr:col>5</xdr:col>
      <xdr:colOff>445604</xdr:colOff>
      <xdr:row>4</xdr:row>
      <xdr:rowOff>35200</xdr:rowOff>
    </xdr:to>
    <xdr:sp macro="" textlink="KPI_Summary!B4">
      <xdr:nvSpPr>
        <xdr:cNvPr id="5" name="TextBox 4">
          <a:extLst>
            <a:ext uri="{FF2B5EF4-FFF2-40B4-BE49-F238E27FC236}">
              <a16:creationId xmlns:a16="http://schemas.microsoft.com/office/drawing/2014/main" id="{1683854D-698C-6E74-EED3-488D477CCBCD}"/>
            </a:ext>
          </a:extLst>
        </xdr:cNvPr>
        <xdr:cNvSpPr txBox="1"/>
      </xdr:nvSpPr>
      <xdr:spPr>
        <a:xfrm>
          <a:off x="2477742" y="600075"/>
          <a:ext cx="1015862" cy="197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3BD82E-4286-4D1D-A4E7-C13287B64F18}" type="TxLink">
            <a:rPr lang="en-US" sz="1800" b="1" i="0" u="none" strike="noStrike">
              <a:solidFill>
                <a:srgbClr val="000000"/>
              </a:solidFill>
              <a:latin typeface="Calibri"/>
              <a:cs typeface="Calibri"/>
            </a:rPr>
            <a:pPr algn="ctr"/>
            <a:t>6535</a:t>
          </a:fld>
          <a:endParaRPr lang="en-US" sz="1800" b="1"/>
        </a:p>
      </xdr:txBody>
    </xdr:sp>
    <xdr:clientData/>
  </xdr:twoCellAnchor>
  <xdr:oneCellAnchor>
    <xdr:from>
      <xdr:col>0</xdr:col>
      <xdr:colOff>142875</xdr:colOff>
      <xdr:row>2</xdr:row>
      <xdr:rowOff>171450</xdr:rowOff>
    </xdr:from>
    <xdr:ext cx="895350" cy="263801"/>
    <xdr:sp macro="" textlink="KPI_Summary!B2">
      <xdr:nvSpPr>
        <xdr:cNvPr id="11" name="TextBox 10">
          <a:extLst>
            <a:ext uri="{FF2B5EF4-FFF2-40B4-BE49-F238E27FC236}">
              <a16:creationId xmlns:a16="http://schemas.microsoft.com/office/drawing/2014/main" id="{C75D0653-D0B3-F690-95DB-889AE31AA76A}"/>
            </a:ext>
          </a:extLst>
        </xdr:cNvPr>
        <xdr:cNvSpPr txBox="1"/>
      </xdr:nvSpPr>
      <xdr:spPr>
        <a:xfrm>
          <a:off x="142875" y="552450"/>
          <a:ext cx="895350" cy="263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E806AAA-CCDB-46E0-A50A-2E08A9F0D4D0}" type="TxLink">
            <a:rPr lang="en-US" sz="1800" b="1" i="0" u="none" strike="noStrike">
              <a:solidFill>
                <a:srgbClr val="000000"/>
              </a:solidFill>
              <a:latin typeface="Calibri"/>
              <a:cs typeface="Calibri"/>
            </a:rPr>
            <a:pPr algn="ctr"/>
            <a:t>37202</a:t>
          </a:fld>
          <a:endParaRPr lang="en-US" sz="1800" b="1"/>
        </a:p>
      </xdr:txBody>
    </xdr:sp>
    <xdr:clientData/>
  </xdr:oneCellAnchor>
  <xdr:twoCellAnchor editAs="oneCell">
    <xdr:from>
      <xdr:col>17</xdr:col>
      <xdr:colOff>241438</xdr:colOff>
      <xdr:row>0</xdr:row>
      <xdr:rowOff>19050</xdr:rowOff>
    </xdr:from>
    <xdr:to>
      <xdr:col>20</xdr:col>
      <xdr:colOff>419099</xdr:colOff>
      <xdr:row>5</xdr:row>
      <xdr:rowOff>133350</xdr:rowOff>
    </xdr:to>
    <mc:AlternateContent xmlns:mc="http://schemas.openxmlformats.org/markup-compatibility/2006" xmlns:a14="http://schemas.microsoft.com/office/drawing/2010/main">
      <mc:Choice Requires="a14">
        <xdr:graphicFrame macro="">
          <xdr:nvGraphicFramePr>
            <xdr:cNvPr id="14" name="Conversion Category">
              <a:extLst>
                <a:ext uri="{FF2B5EF4-FFF2-40B4-BE49-F238E27FC236}">
                  <a16:creationId xmlns:a16="http://schemas.microsoft.com/office/drawing/2014/main" id="{4AA9ECA3-80D3-4384-98C3-B17B506E4CE8}"/>
                </a:ext>
              </a:extLst>
            </xdr:cNvPr>
            <xdr:cNvGraphicFramePr/>
          </xdr:nvGraphicFramePr>
          <xdr:xfrm>
            <a:off x="0" y="0"/>
            <a:ext cx="0" cy="0"/>
          </xdr:xfrm>
          <a:graphic>
            <a:graphicData uri="http://schemas.microsoft.com/office/drawing/2010/slicer">
              <sle:slicer xmlns:sle="http://schemas.microsoft.com/office/drawing/2010/slicer" name="Conversion Category"/>
            </a:graphicData>
          </a:graphic>
        </xdr:graphicFrame>
      </mc:Choice>
      <mc:Fallback xmlns="">
        <xdr:sp macro="" textlink="">
          <xdr:nvSpPr>
            <xdr:cNvPr id="0" name=""/>
            <xdr:cNvSpPr>
              <a:spLocks noTextEdit="1"/>
            </xdr:cNvSpPr>
          </xdr:nvSpPr>
          <xdr:spPr>
            <a:xfrm>
              <a:off x="10604638" y="57150"/>
              <a:ext cx="2006461"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99393</xdr:rowOff>
    </xdr:from>
    <xdr:to>
      <xdr:col>10</xdr:col>
      <xdr:colOff>266700</xdr:colOff>
      <xdr:row>26</xdr:row>
      <xdr:rowOff>132523</xdr:rowOff>
    </xdr:to>
    <xdr:graphicFrame macro="">
      <xdr:nvGraphicFramePr>
        <xdr:cNvPr id="17" name="Chart 16">
          <a:extLst>
            <a:ext uri="{FF2B5EF4-FFF2-40B4-BE49-F238E27FC236}">
              <a16:creationId xmlns:a16="http://schemas.microsoft.com/office/drawing/2014/main" id="{F0B9B58A-EF5D-443A-BD68-7A8DECE6D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314325</xdr:colOff>
      <xdr:row>15</xdr:row>
      <xdr:rowOff>95251</xdr:rowOff>
    </xdr:from>
    <xdr:to>
      <xdr:col>20</xdr:col>
      <xdr:colOff>400050</xdr:colOff>
      <xdr:row>26</xdr:row>
      <xdr:rowOff>142875</xdr:rowOff>
    </xdr:to>
    <xdr:graphicFrame macro="">
      <xdr:nvGraphicFramePr>
        <xdr:cNvPr id="18" name="Chart 17">
          <a:extLst>
            <a:ext uri="{FF2B5EF4-FFF2-40B4-BE49-F238E27FC236}">
              <a16:creationId xmlns:a16="http://schemas.microsoft.com/office/drawing/2014/main" id="{5F8872D0-3ED8-4E01-8278-0712CCDC8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xdr:row>
      <xdr:rowOff>20293</xdr:rowOff>
    </xdr:from>
    <xdr:to>
      <xdr:col>10</xdr:col>
      <xdr:colOff>266699</xdr:colOff>
      <xdr:row>15</xdr:row>
      <xdr:rowOff>57150</xdr:rowOff>
    </xdr:to>
    <xdr:graphicFrame macro="">
      <xdr:nvGraphicFramePr>
        <xdr:cNvPr id="6" name="Chart 5">
          <a:extLst>
            <a:ext uri="{FF2B5EF4-FFF2-40B4-BE49-F238E27FC236}">
              <a16:creationId xmlns:a16="http://schemas.microsoft.com/office/drawing/2014/main" id="{AA1E0F79-FE18-4349-894B-82089FFAE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368161</xdr:colOff>
      <xdr:row>0</xdr:row>
      <xdr:rowOff>19050</xdr:rowOff>
    </xdr:from>
    <xdr:to>
      <xdr:col>17</xdr:col>
      <xdr:colOff>85724</xdr:colOff>
      <xdr:row>6</xdr:row>
      <xdr:rowOff>9524</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D79D6C5C-A48D-4B5D-9A78-E2E14529930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292961" y="19050"/>
              <a:ext cx="2155963" cy="113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314324</xdr:colOff>
      <xdr:row>6</xdr:row>
      <xdr:rowOff>9523</xdr:rowOff>
    </xdr:from>
    <xdr:to>
      <xdr:col>20</xdr:col>
      <xdr:colOff>390525</xdr:colOff>
      <xdr:row>15</xdr:row>
      <xdr:rowOff>59023</xdr:rowOff>
    </xdr:to>
    <xdr:graphicFrame macro="">
      <xdr:nvGraphicFramePr>
        <xdr:cNvPr id="15" name="Chart 14">
          <a:extLst>
            <a:ext uri="{FF2B5EF4-FFF2-40B4-BE49-F238E27FC236}">
              <a16:creationId xmlns:a16="http://schemas.microsoft.com/office/drawing/2014/main" id="{3F599A6A-4B23-4BC3-9A83-AABFEFF13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257175</xdr:colOff>
      <xdr:row>2</xdr:row>
      <xdr:rowOff>133350</xdr:rowOff>
    </xdr:from>
    <xdr:to>
      <xdr:col>10</xdr:col>
      <xdr:colOff>247650</xdr:colOff>
      <xdr:row>5</xdr:row>
      <xdr:rowOff>152400</xdr:rowOff>
    </xdr:to>
    <xdr:sp macro="" textlink="">
      <xdr:nvSpPr>
        <xdr:cNvPr id="19" name="Rectangle: Rounded Corners 18">
          <a:extLst>
            <a:ext uri="{FF2B5EF4-FFF2-40B4-BE49-F238E27FC236}">
              <a16:creationId xmlns:a16="http://schemas.microsoft.com/office/drawing/2014/main" id="{155E29B2-8AC8-4003-8545-041CDD139C46}"/>
            </a:ext>
          </a:extLst>
        </xdr:cNvPr>
        <xdr:cNvSpPr/>
      </xdr:nvSpPr>
      <xdr:spPr>
        <a:xfrm>
          <a:off x="5133975" y="514350"/>
          <a:ext cx="1209675" cy="59055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solidFill>
                <a:sysClr val="windowText" lastClr="000000"/>
              </a:solidFill>
            </a:rPr>
            <a:t>Reach Rate</a:t>
          </a:r>
        </a:p>
      </xdr:txBody>
    </xdr:sp>
    <xdr:clientData/>
  </xdr:twoCellAnchor>
  <xdr:twoCellAnchor>
    <xdr:from>
      <xdr:col>8</xdr:col>
      <xdr:colOff>428625</xdr:colOff>
      <xdr:row>3</xdr:row>
      <xdr:rowOff>0</xdr:rowOff>
    </xdr:from>
    <xdr:to>
      <xdr:col>10</xdr:col>
      <xdr:colOff>142875</xdr:colOff>
      <xdr:row>4</xdr:row>
      <xdr:rowOff>95250</xdr:rowOff>
    </xdr:to>
    <xdr:sp macro="" textlink="KPI_Summary!B7">
      <xdr:nvSpPr>
        <xdr:cNvPr id="20" name="TextBox 19">
          <a:extLst>
            <a:ext uri="{FF2B5EF4-FFF2-40B4-BE49-F238E27FC236}">
              <a16:creationId xmlns:a16="http://schemas.microsoft.com/office/drawing/2014/main" id="{B99C10BA-F2A6-ECF8-918C-558ED5EC9636}"/>
            </a:ext>
          </a:extLst>
        </xdr:cNvPr>
        <xdr:cNvSpPr txBox="1"/>
      </xdr:nvSpPr>
      <xdr:spPr>
        <a:xfrm>
          <a:off x="5305425" y="571500"/>
          <a:ext cx="9334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CF14FE-4310-4585-B67F-F22B25D9AC4A}" type="TxLink">
            <a:rPr lang="en-US" sz="1800" b="1" i="0" u="none" strike="noStrike">
              <a:solidFill>
                <a:srgbClr val="000000"/>
              </a:solidFill>
              <a:latin typeface="Calibri"/>
              <a:cs typeface="Calibri"/>
            </a:rPr>
            <a:pPr algn="ctr"/>
            <a:t>40.80%</a:t>
          </a:fld>
          <a:endParaRPr lang="en-US" sz="1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5.397748148149" createdVersion="8" refreshedVersion="8" minRefreshableVersion="3" recordCount="565" xr:uid="{53515589-7D2C-4D97-8580-BCCAB9C7FC0E}">
  <cacheSource type="worksheet">
    <worksheetSource name="Table134"/>
  </cacheSource>
  <cacheFields count="17">
    <cacheField name="Date" numFmtId="164">
      <sharedItems containsSemiMixedTypes="0" containsNonDate="0" containsDate="1" containsString="0" minDate="2024-01-01T00:00:00" maxDate="2025-01-01T00:00:00" count="265">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1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8T00:00:00"/>
        <d v="2024-11-29T00:00:00"/>
        <d v="2024-12-01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5T00:00:00"/>
        <d v="2024-12-26T00:00:00"/>
        <d v="2024-12-27T00:00:00"/>
        <d v="2024-12-30T00:00:00"/>
        <d v="2024-12-31T00:00:00"/>
      </sharedItems>
      <fieldGroup par="16"/>
    </cacheField>
    <cacheField name="Month" numFmtId="164">
      <sharedItems count="12">
        <s v="Jan"/>
        <s v="Feb"/>
        <s v="Mar"/>
        <s v="Apr"/>
        <s v="May"/>
        <s v="Jun"/>
        <s v="Jul"/>
        <s v="Aug"/>
        <s v="Sep"/>
        <s v="Oct"/>
        <s v="Nov"/>
        <s v="Dec"/>
      </sharedItems>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80"/>
    </cacheField>
    <cacheField name="Average Duration (sec)" numFmtId="2">
      <sharedItems containsSemiMixedTypes="0" containsString="0" containsNumber="1" minValue="71.41" maxValue="633.37"/>
    </cacheField>
    <cacheField name="Deals Closed" numFmtId="0">
      <sharedItems containsSemiMixedTypes="0" containsString="0" containsNumber="1" containsInteger="1" minValue="0" maxValue="50"/>
    </cacheField>
    <cacheField name="Deal Value ($)" numFmtId="165">
      <sharedItems containsSemiMixedTypes="0" containsString="0" containsNumber="1" minValue="221.94" maxValue="4990.7034974000189"/>
    </cacheField>
    <cacheField name="First Name" numFmtId="0">
      <sharedItems/>
    </cacheField>
    <cacheField name="Last Name" numFmtId="0">
      <sharedItems/>
    </cacheField>
    <cacheField name="Agent Name" numFmtId="0">
      <sharedItems count="222">
        <s v="Evan Garcia"/>
        <s v="Mimi Williams"/>
        <s v="Craig Martinez"/>
        <s v="Josh Johnson"/>
        <s v="Emma Johnson"/>
        <s v="Grace Rodriguez"/>
        <s v="Vicky Jones"/>
        <s v="Will Garcia"/>
        <s v="Darren Smith"/>
        <s v="Karol Rodriguez"/>
        <s v="Alex Williams"/>
        <s v="Melissa Johnson"/>
        <s v="Ian Miller"/>
        <s v="David Jones"/>
        <s v="Richard Jones"/>
        <s v="James Jones"/>
        <s v="Chris Smith"/>
        <s v="Molly Jones"/>
        <s v="Charlie Miller"/>
        <s v="Rick Davis"/>
        <s v="Bob Jones"/>
        <s v="Liam Rodriguez"/>
        <s v="Jake Rodriguez"/>
        <s v="Diana Johnson"/>
        <s v="Alice Smith"/>
        <s v="Paul Martinez"/>
        <s v="Jake Garcia"/>
        <s v="Jake Williams"/>
        <s v="John Williams"/>
        <s v="John Smith"/>
        <s v="Chris Johnson"/>
        <s v="Anna Brown"/>
        <s v="Jane Martinez"/>
        <s v="John Rodriguez"/>
        <s v="Evan Johnson"/>
        <s v="Chris Garcia"/>
        <s v="Jane Williams"/>
        <s v="Chris Davis"/>
        <s v="Jane Smith"/>
        <s v="Mimi Davis"/>
        <s v="John Brown"/>
        <s v="Alice Johnson"/>
        <s v="Chris Rodriguez"/>
        <s v="Alice Brown"/>
        <s v="Evan Davis"/>
        <s v="Mimi Rodriguez"/>
        <s v="David Rodriguez"/>
        <s v="Grace Smith"/>
        <s v="Josh Jones"/>
        <s v="Evan Miller"/>
        <s v="Craig Garcia"/>
        <s v="Diana Miller"/>
        <s v="Liam Jones"/>
        <s v="Bob Williams"/>
        <s v="Rick Williams"/>
        <s v="Charlie Johnson"/>
        <s v="Molly Miller"/>
        <s v="Chris Jones"/>
        <s v="Paul Davis"/>
        <s v="Ian Williams"/>
        <s v="Alex Brown"/>
        <s v="Karol Jones"/>
        <s v="Darren Johnson"/>
        <s v="Vicky Davis"/>
        <s v="Richard Miller"/>
        <s v="Emma Miller"/>
        <s v="Evan Martinez"/>
        <s v="Jake Smith"/>
        <s v="John Garcia"/>
        <s v="Anna Garcia"/>
        <s v="Evan Rodriguez"/>
        <s v="Chris Martinez"/>
        <s v="John Johnson"/>
        <s v="Chris Williams"/>
        <s v="John Davis"/>
        <s v="Jane Brown"/>
        <s v="Ian Johnson"/>
        <s v="Darren Rodriguez"/>
        <s v="James Rodriguez"/>
        <s v="Richard Williams"/>
        <s v="Melissa Williams"/>
        <s v="Alex Miller"/>
        <s v="Karol Johnson"/>
        <s v="Will Williams"/>
        <s v="Vicky Rodriguez"/>
        <s v="Emma Smith"/>
        <s v="Chris Brown"/>
        <s v="Josh Garcia"/>
        <s v="David Williams"/>
        <s v="Mimi Smith"/>
        <s v="Charlie Williams"/>
        <s v="Rick Garcia"/>
        <s v="Bob Garcia"/>
        <s v="Liam Johnson"/>
        <s v="Diana Williams"/>
        <s v="Anna Johnson"/>
        <s v="Jake Martinez"/>
        <s v="Alice Rodriguez"/>
        <s v="Alice Martinez"/>
        <s v="Jake Brown"/>
        <s v="Mimi Brown"/>
        <s v="Jane Rodriguez"/>
        <s v="Liam Miller"/>
        <s v="Bob Smith"/>
        <s v="Rick Miller"/>
        <s v="Emma Martinez"/>
        <s v="Molly Martinez"/>
        <s v="Evan Jones"/>
        <s v="Chris Miller"/>
        <s v="Richard Davis"/>
        <s v="Paul Rodriguez"/>
        <s v="Vicky Martinez"/>
        <s v="Darren Brown"/>
        <s v="Will Smith"/>
        <s v="Ian Martinez"/>
        <s v="Grace Davis"/>
        <s v="Craig Rodriguez"/>
        <s v="David Johnson"/>
        <s v="Mimi Martinez"/>
        <s v="Karol Smith"/>
        <s v="Melissa Miller"/>
        <s v="Alice Garcia"/>
        <s v="Anna Davis"/>
        <s v="Evan Williams"/>
        <s v="Jane Garcia"/>
        <s v="Mimi Johnson"/>
        <s v="Jane Johnson"/>
        <s v="Alex Smith"/>
        <s v="Craig Johnson"/>
        <s v="Josh Brown"/>
        <s v="Emma Jones"/>
        <s v="Grace Garcia"/>
        <s v="Will Brown"/>
        <s v="Karol Brown"/>
        <s v="David Davis"/>
        <s v="Melissa Smith"/>
        <s v="Liam Brown"/>
        <s v="Charlie Martinez"/>
        <s v="Molly Williams"/>
        <s v="James Smith"/>
        <s v="Alice Davis"/>
        <s v="Evan Smith"/>
        <s v="Alice Williams"/>
        <s v="Anna Martinez"/>
        <s v="Bob Brown"/>
        <s v="Charlie Garcia"/>
        <s v="Liam Martinez"/>
        <s v="Mimi Miller"/>
        <s v="David Martinez"/>
        <s v="Craig Jones"/>
        <s v="Emma Garcia"/>
        <s v="Grace Brown"/>
        <s v="Vicky Williams"/>
        <s v="Will Rodriguez"/>
        <s v="Darren Garcia"/>
        <s v="Diana Davis"/>
        <s v="Richard Martinez"/>
        <s v="Paul Garcia"/>
        <s v="Alex Garcia"/>
        <s v="Jake Davis"/>
        <s v="Evan Brown"/>
        <s v="Ian Brown"/>
        <s v="Paul Williams"/>
        <s v="Richard Brown"/>
        <s v="Rick Brown"/>
        <s v="Bob Martinez"/>
        <s v="Melissa Garcia"/>
        <s v="Karol Williams"/>
        <s v="Will Davis"/>
        <s v="Craig Davis"/>
        <s v="Mimi Garcia"/>
        <s v="Jake Jones"/>
        <s v="Diana Smith"/>
        <s v="Anna Smith"/>
        <s v="Vicky Brown"/>
        <s v="Rick Rodriguez"/>
        <s v="Bob Miller"/>
        <s v="Grace Martinez"/>
        <s v="Will Miller"/>
        <s v="Darren Jones"/>
        <s v="Josh Martinez"/>
        <s v="Melissa Jones"/>
        <s v="Alex Jones"/>
        <s v="Charlie Jones"/>
        <s v="Molly Johnson"/>
        <s v="Richard Rodriguez"/>
        <s v="James Garcia"/>
        <s v="Jane Davis"/>
        <s v="Anna Rodriguez"/>
        <s v="Charlie Smith"/>
        <s v="Liam Davis"/>
        <s v="Jake Johnson"/>
        <s v="Charlie Brown"/>
        <s v="Rick Johnson"/>
        <s v="James Davis"/>
        <s v="Paul Smith"/>
        <s v="David Garcia"/>
        <s v="Josh Williams"/>
        <s v="Grace Williams"/>
        <s v="Alice Jones"/>
        <s v="Karol Miller"/>
        <s v="Alex Martinez"/>
        <s v="Melissa Rodriguez"/>
        <s v="David Miller"/>
        <s v="Craig Smith"/>
        <s v="Will Jones"/>
        <s v="Darren Martinez"/>
        <s v="Karol Garcia"/>
        <s v="Alex Davis"/>
        <s v="Paul Brown"/>
        <s v="Charlie Davis"/>
        <s v="Diana Jones"/>
        <s v="David Brown"/>
        <s v="Grace Miller"/>
        <s v="Darren Williams"/>
        <s v="Ian Smith"/>
        <s v="Paul Jones"/>
        <s v="Josh Smith"/>
        <s v="James Johnson"/>
        <s v="Molly Brown"/>
        <s v="Rick Martinez"/>
        <s v="Liam Williams"/>
      </sharedItems>
    </cacheField>
    <cacheField name="Gender" numFmtId="0">
      <sharedItems/>
    </cacheField>
    <cacheField name="Reach Rate" numFmtId="9">
      <sharedItems containsSemiMixedTypes="0" containsString="0" containsNumber="1" minValue="3.8461538461538464E-2" maxValue="1.56"/>
    </cacheField>
    <cacheField name="Conversion Rate" numFmtId="9">
      <sharedItems containsSemiMixedTypes="0" containsString="0" containsNumber="1" minValue="0" maxValue="3.5"/>
    </cacheField>
    <cacheField name="Revenue per Deal" numFmtId="165">
      <sharedItems containsSemiMixedTypes="0" containsString="0" containsNumber="1" minValue="0" maxValue="3963.32"/>
    </cacheField>
    <cacheField name="Revenue per Call" numFmtId="165">
      <sharedItems containsSemiMixedTypes="0" containsString="0" containsNumber="1" minValue="2.7742499999999999" maxValue="192.34571428571431"/>
    </cacheField>
    <cacheField name="Conversion Category" numFmtId="0">
      <sharedItems count="2">
        <s v="High"/>
        <s v="Low"/>
      </sharedItems>
    </cacheField>
    <cacheField name="Months (Date)" numFmtId="0" databaseField="0">
      <fieldGroup base="0">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418219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5">
  <r>
    <x v="0"/>
    <x v="0"/>
    <n v="74"/>
    <n v="12"/>
    <n v="330.42"/>
    <n v="7"/>
    <n v="4276.3100000000004"/>
    <s v="Evan"/>
    <s v="Garcia"/>
    <x v="0"/>
    <s v="Male"/>
    <n v="0.16216216216216217"/>
    <n v="0.58333333333333337"/>
    <n v="610.9014285714286"/>
    <n v="57.78797297297298"/>
    <x v="0"/>
  </r>
  <r>
    <x v="0"/>
    <x v="0"/>
    <n v="43"/>
    <n v="15"/>
    <n v="363.48"/>
    <n v="7"/>
    <n v="3843.52"/>
    <s v="Mimi"/>
    <s v="Williams"/>
    <x v="1"/>
    <s v="Female"/>
    <n v="0.34883720930232559"/>
    <n v="0.46666666666666667"/>
    <n v="549.07428571428568"/>
    <n v="89.38418604651163"/>
    <x v="0"/>
  </r>
  <r>
    <x v="0"/>
    <x v="0"/>
    <n v="92"/>
    <n v="13"/>
    <n v="422.39"/>
    <n v="1"/>
    <n v="2695.84"/>
    <s v="Craig"/>
    <s v="Martinez"/>
    <x v="2"/>
    <s v="Female"/>
    <n v="0.14130434782608695"/>
    <n v="7.6923076923076927E-2"/>
    <n v="2695.84"/>
    <n v="29.302608695652175"/>
    <x v="1"/>
  </r>
  <r>
    <x v="0"/>
    <x v="0"/>
    <n v="63"/>
    <n v="8"/>
    <n v="170.49"/>
    <n v="7"/>
    <n v="526.12"/>
    <s v="Josh"/>
    <s v="Johnson"/>
    <x v="3"/>
    <s v="Male"/>
    <n v="0.12698412698412698"/>
    <n v="0.875"/>
    <n v="75.16"/>
    <n v="8.3511111111111109"/>
    <x v="0"/>
  </r>
  <r>
    <x v="0"/>
    <x v="0"/>
    <n v="96"/>
    <n v="80"/>
    <n v="532.83000000000004"/>
    <n v="40"/>
    <n v="3173.13"/>
    <s v="Emma"/>
    <s v="Johnson"/>
    <x v="4"/>
    <s v="Female"/>
    <n v="0.83333333333333337"/>
    <n v="0.5"/>
    <n v="79.328249999999997"/>
    <n v="33.053437500000001"/>
    <x v="0"/>
  </r>
  <r>
    <x v="0"/>
    <x v="0"/>
    <n v="100"/>
    <n v="60"/>
    <n v="279.95"/>
    <n v="50"/>
    <n v="1432.23"/>
    <s v="Grace"/>
    <s v="Rodriguez"/>
    <x v="5"/>
    <s v="Male"/>
    <n v="0.6"/>
    <n v="0.83333333333333337"/>
    <n v="28.644600000000001"/>
    <n v="14.3223"/>
    <x v="0"/>
  </r>
  <r>
    <x v="0"/>
    <x v="0"/>
    <n v="73"/>
    <n v="12"/>
    <n v="507.45"/>
    <n v="0"/>
    <n v="1123.8399999999999"/>
    <s v="Vicky"/>
    <s v="Jones"/>
    <x v="6"/>
    <s v="Male"/>
    <n v="0.16438356164383561"/>
    <n v="0"/>
    <n v="0"/>
    <n v="15.395068493150683"/>
    <x v="1"/>
  </r>
  <r>
    <x v="0"/>
    <x v="0"/>
    <n v="92"/>
    <n v="20"/>
    <n v="161.41999999999999"/>
    <n v="4"/>
    <n v="425.41"/>
    <s v="Will"/>
    <s v="Garcia"/>
    <x v="7"/>
    <s v="Female"/>
    <n v="0.21739130434782608"/>
    <n v="0.2"/>
    <n v="106.35250000000001"/>
    <n v="4.624021739130435"/>
    <x v="0"/>
  </r>
  <r>
    <x v="0"/>
    <x v="0"/>
    <n v="31"/>
    <n v="17"/>
    <n v="476.95"/>
    <n v="7"/>
    <n v="3945.43"/>
    <s v="Darren"/>
    <s v="Smith"/>
    <x v="8"/>
    <s v="Female"/>
    <n v="0.54838709677419351"/>
    <n v="0.41176470588235292"/>
    <n v="563.63285714285712"/>
    <n v="127.27193548387096"/>
    <x v="0"/>
  </r>
  <r>
    <x v="0"/>
    <x v="0"/>
    <n v="81"/>
    <n v="7"/>
    <n v="82.43"/>
    <n v="7"/>
    <n v="3463.96"/>
    <s v="Karol"/>
    <s v="Rodriguez"/>
    <x v="9"/>
    <s v="Male"/>
    <n v="8.6419753086419748E-2"/>
    <n v="1"/>
    <n v="494.85142857142858"/>
    <n v="42.76493827160494"/>
    <x v="0"/>
  </r>
  <r>
    <x v="0"/>
    <x v="0"/>
    <n v="82"/>
    <n v="4"/>
    <n v="180.06"/>
    <n v="4"/>
    <n v="1207.17"/>
    <s v="Alex"/>
    <s v="Williams"/>
    <x v="10"/>
    <s v="Male"/>
    <n v="4.878048780487805E-2"/>
    <n v="1"/>
    <n v="301.79250000000002"/>
    <n v="14.72158536585366"/>
    <x v="0"/>
  </r>
  <r>
    <x v="0"/>
    <x v="0"/>
    <n v="54"/>
    <n v="10"/>
    <n v="208.23"/>
    <n v="3"/>
    <n v="645.83000000000004"/>
    <s v="Melissa"/>
    <s v="Johnson"/>
    <x v="11"/>
    <s v="Male"/>
    <n v="0.18518518518518517"/>
    <n v="0.3"/>
    <n v="215.27666666666667"/>
    <n v="11.959814814814816"/>
    <x v="0"/>
  </r>
  <r>
    <x v="0"/>
    <x v="0"/>
    <n v="36"/>
    <n v="9"/>
    <n v="216.03"/>
    <n v="2"/>
    <n v="4072.07"/>
    <s v="Ian"/>
    <s v="Miller"/>
    <x v="12"/>
    <s v="Male"/>
    <n v="0.25"/>
    <n v="0.22222222222222221"/>
    <n v="2036.0350000000001"/>
    <n v="113.11305555555556"/>
    <x v="0"/>
  </r>
  <r>
    <x v="0"/>
    <x v="0"/>
    <n v="38"/>
    <n v="10"/>
    <n v="514.25"/>
    <n v="4"/>
    <n v="243.62"/>
    <s v="David"/>
    <s v="Jones"/>
    <x v="13"/>
    <s v="Male"/>
    <n v="0.26315789473684209"/>
    <n v="0.4"/>
    <n v="60.905000000000001"/>
    <n v="6.4110526315789471"/>
    <x v="0"/>
  </r>
  <r>
    <x v="0"/>
    <x v="0"/>
    <n v="36"/>
    <n v="6"/>
    <n v="547.6"/>
    <n v="5"/>
    <n v="3463.18"/>
    <s v="Richard"/>
    <s v="Jones"/>
    <x v="14"/>
    <s v="Male"/>
    <n v="0.16666666666666666"/>
    <n v="0.83333333333333337"/>
    <n v="692.63599999999997"/>
    <n v="96.199444444444438"/>
    <x v="0"/>
  </r>
  <r>
    <x v="0"/>
    <x v="0"/>
    <n v="18"/>
    <n v="8"/>
    <n v="206.81"/>
    <n v="7"/>
    <n v="720.56"/>
    <s v="James"/>
    <s v="Jones"/>
    <x v="15"/>
    <s v="Male"/>
    <n v="0.44444444444444442"/>
    <n v="0.875"/>
    <n v="102.93714285714285"/>
    <n v="40.031111111111109"/>
    <x v="0"/>
  </r>
  <r>
    <x v="0"/>
    <x v="0"/>
    <n v="59"/>
    <n v="13"/>
    <n v="307.49"/>
    <n v="10"/>
    <n v="979.09"/>
    <s v="Chris"/>
    <s v="Smith"/>
    <x v="16"/>
    <s v="Male"/>
    <n v="0.22033898305084745"/>
    <n v="0.76923076923076927"/>
    <n v="97.909000000000006"/>
    <n v="16.594745762711867"/>
    <x v="0"/>
  </r>
  <r>
    <x v="0"/>
    <x v="0"/>
    <n v="34"/>
    <n v="21"/>
    <n v="362.62"/>
    <n v="9"/>
    <n v="1140.08"/>
    <s v="Molly"/>
    <s v="Jones"/>
    <x v="17"/>
    <s v="Male"/>
    <n v="0.61764705882352944"/>
    <n v="0.42857142857142855"/>
    <n v="126.67555555555555"/>
    <n v="33.531764705882352"/>
    <x v="0"/>
  </r>
  <r>
    <x v="0"/>
    <x v="0"/>
    <n v="60"/>
    <n v="7"/>
    <n v="251.7"/>
    <n v="5"/>
    <n v="3956.69"/>
    <s v="Charlie"/>
    <s v="Miller"/>
    <x v="18"/>
    <s v="Female"/>
    <n v="0.11666666666666667"/>
    <n v="0.7142857142857143"/>
    <n v="791.33799999999997"/>
    <n v="65.944833333333335"/>
    <x v="0"/>
  </r>
  <r>
    <x v="0"/>
    <x v="0"/>
    <n v="68"/>
    <n v="19"/>
    <n v="290.39"/>
    <n v="3"/>
    <n v="2472.2399999999998"/>
    <s v="Rick"/>
    <s v="Davis"/>
    <x v="19"/>
    <s v="Male"/>
    <n v="0.27941176470588236"/>
    <n v="0.15789473684210525"/>
    <n v="824.07999999999993"/>
    <n v="36.35647058823529"/>
    <x v="1"/>
  </r>
  <r>
    <x v="0"/>
    <x v="0"/>
    <n v="59"/>
    <n v="5"/>
    <n v="520.05999999999995"/>
    <n v="3"/>
    <n v="3546.72"/>
    <s v="Bob"/>
    <s v="Jones"/>
    <x v="20"/>
    <s v="Male"/>
    <n v="8.4745762711864403E-2"/>
    <n v="0.6"/>
    <n v="1182.24"/>
    <n v="60.113898305084746"/>
    <x v="0"/>
  </r>
  <r>
    <x v="0"/>
    <x v="0"/>
    <n v="81"/>
    <n v="16"/>
    <n v="516.23"/>
    <n v="5"/>
    <n v="1030.68"/>
    <s v="Liam"/>
    <s v="Rodriguez"/>
    <x v="21"/>
    <s v="Female"/>
    <n v="0.19753086419753085"/>
    <n v="0.3125"/>
    <n v="206.13600000000002"/>
    <n v="12.724444444444446"/>
    <x v="0"/>
  </r>
  <r>
    <x v="0"/>
    <x v="0"/>
    <n v="24"/>
    <n v="6"/>
    <n v="76.930000000000007"/>
    <n v="4"/>
    <n v="1552.35"/>
    <s v="Jake"/>
    <s v="Rodriguez"/>
    <x v="22"/>
    <s v="Female"/>
    <n v="0.25"/>
    <n v="0.66666666666666663"/>
    <n v="388.08749999999998"/>
    <n v="64.681249999999991"/>
    <x v="0"/>
  </r>
  <r>
    <x v="0"/>
    <x v="0"/>
    <n v="47"/>
    <n v="14"/>
    <n v="418.92"/>
    <n v="2"/>
    <n v="3716"/>
    <s v="Diana"/>
    <s v="Johnson"/>
    <x v="23"/>
    <s v="Male"/>
    <n v="0.2978723404255319"/>
    <n v="0.14285714285714285"/>
    <n v="1858"/>
    <n v="79.063829787234042"/>
    <x v="1"/>
  </r>
  <r>
    <x v="0"/>
    <x v="0"/>
    <n v="78"/>
    <n v="12"/>
    <n v="377.5"/>
    <n v="4"/>
    <n v="3880.98"/>
    <s v="Alice"/>
    <s v="Smith"/>
    <x v="24"/>
    <s v="Female"/>
    <n v="0.15384615384615385"/>
    <n v="0.33333333333333331"/>
    <n v="970.245"/>
    <n v="49.756153846153843"/>
    <x v="0"/>
  </r>
  <r>
    <x v="0"/>
    <x v="0"/>
    <n v="67"/>
    <n v="17"/>
    <n v="552.54999999999995"/>
    <n v="2"/>
    <n v="330.12"/>
    <s v="Paul"/>
    <s v="Martinez"/>
    <x v="25"/>
    <s v="Female"/>
    <n v="0.2537313432835821"/>
    <n v="0.11764705882352941"/>
    <n v="165.06"/>
    <n v="4.9271641791044773"/>
    <x v="1"/>
  </r>
  <r>
    <x v="1"/>
    <x v="0"/>
    <n v="88"/>
    <n v="76"/>
    <n v="477.27143704234118"/>
    <n v="33"/>
    <n v="2759.8775464905921"/>
    <s v="Jake"/>
    <s v="Garcia"/>
    <x v="26"/>
    <s v="Female"/>
    <n v="0.86363636363636365"/>
    <n v="0.43421052631578949"/>
    <n v="83.632652923957338"/>
    <n v="31.362244846484"/>
    <x v="0"/>
  </r>
  <r>
    <x v="2"/>
    <x v="0"/>
    <n v="78"/>
    <n v="28"/>
    <n v="151.56193441796631"/>
    <n v="7"/>
    <n v="3179.2325779401972"/>
    <s v="Jake"/>
    <s v="Williams"/>
    <x v="27"/>
    <s v="Female"/>
    <n v="0.35897435897435898"/>
    <n v="0.25"/>
    <n v="454.17608256288531"/>
    <n v="40.759392024874323"/>
    <x v="0"/>
  </r>
  <r>
    <x v="3"/>
    <x v="0"/>
    <n v="64"/>
    <n v="29"/>
    <n v="551.2764533397833"/>
    <n v="39"/>
    <n v="801.84414824792361"/>
    <s v="John"/>
    <s v="Williams"/>
    <x v="28"/>
    <s v="Female"/>
    <n v="0.453125"/>
    <n v="1.3448275862068966"/>
    <n v="20.560106365331375"/>
    <n v="12.528814816373806"/>
    <x v="0"/>
  </r>
  <r>
    <x v="4"/>
    <x v="0"/>
    <n v="92"/>
    <n v="61"/>
    <n v="352.62618622392858"/>
    <n v="18"/>
    <n v="3874.8221167963002"/>
    <s v="John"/>
    <s v="Smith"/>
    <x v="29"/>
    <s v="Male"/>
    <n v="0.66304347826086951"/>
    <n v="0.29508196721311475"/>
    <n v="215.26789537757224"/>
    <n v="42.117631704307612"/>
    <x v="0"/>
  </r>
  <r>
    <x v="5"/>
    <x v="0"/>
    <n v="57"/>
    <n v="42"/>
    <n v="513.22873305387088"/>
    <n v="36"/>
    <n v="1444.575168930136"/>
    <s v="Chris"/>
    <s v="Johnson"/>
    <x v="30"/>
    <s v="Female"/>
    <n v="0.73684210526315785"/>
    <n v="0.8571428571428571"/>
    <n v="40.127088025837111"/>
    <n v="25.343424016318174"/>
    <x v="0"/>
  </r>
  <r>
    <x v="6"/>
    <x v="0"/>
    <n v="70"/>
    <n v="49"/>
    <n v="260.02480051530591"/>
    <n v="5"/>
    <n v="4541.2443024832119"/>
    <s v="Anna"/>
    <s v="Brown"/>
    <x v="31"/>
    <s v="Female"/>
    <n v="0.7"/>
    <n v="0.10204081632653061"/>
    <n v="908.24886049664235"/>
    <n v="64.874918606903023"/>
    <x v="1"/>
  </r>
  <r>
    <x v="7"/>
    <x v="0"/>
    <n v="88"/>
    <n v="48"/>
    <n v="547.76161424810016"/>
    <n v="25"/>
    <n v="1423.128382169032"/>
    <s v="Jane"/>
    <s v="Martinez"/>
    <x v="32"/>
    <s v="Female"/>
    <n v="0.54545454545454541"/>
    <n v="0.52083333333333337"/>
    <n v="56.925135286761275"/>
    <n v="16.171913433739"/>
    <x v="0"/>
  </r>
  <r>
    <x v="8"/>
    <x v="0"/>
    <n v="68"/>
    <n v="10"/>
    <n v="294.60083936708162"/>
    <n v="33"/>
    <n v="1358.0947429865"/>
    <s v="John"/>
    <s v="Rodriguez"/>
    <x v="33"/>
    <s v="Male"/>
    <n v="0.14705882352941177"/>
    <n v="3.3"/>
    <n v="41.15438615110606"/>
    <n v="19.971981514507352"/>
    <x v="0"/>
  </r>
  <r>
    <x v="9"/>
    <x v="0"/>
    <n v="72"/>
    <n v="20"/>
    <n v="105.4188257401492"/>
    <n v="5"/>
    <n v="664.47350531642701"/>
    <s v="Evan"/>
    <s v="Johnson"/>
    <x v="34"/>
    <s v="Female"/>
    <n v="0.27777777777777779"/>
    <n v="0.25"/>
    <n v="132.8947010632854"/>
    <n v="9.2287986849503749"/>
    <x v="0"/>
  </r>
  <r>
    <x v="10"/>
    <x v="0"/>
    <n v="60"/>
    <n v="66"/>
    <n v="552.69098820963177"/>
    <n v="36"/>
    <n v="2624.301252994997"/>
    <s v="Chris"/>
    <s v="Garcia"/>
    <x v="35"/>
    <s v="Male"/>
    <n v="1.1000000000000001"/>
    <n v="0.54545454545454541"/>
    <n v="72.897257027638801"/>
    <n v="43.738354216583282"/>
    <x v="0"/>
  </r>
  <r>
    <x v="11"/>
    <x v="0"/>
    <n v="60"/>
    <n v="59"/>
    <n v="145.64333839306681"/>
    <n v="32"/>
    <n v="3041.7850996817742"/>
    <s v="Jane"/>
    <s v="Williams"/>
    <x v="36"/>
    <s v="Male"/>
    <n v="0.98333333333333328"/>
    <n v="0.5423728813559322"/>
    <n v="95.055784365055445"/>
    <n v="50.696418328029573"/>
    <x v="0"/>
  </r>
  <r>
    <x v="12"/>
    <x v="0"/>
    <n v="73"/>
    <n v="32"/>
    <n v="259.65681879520741"/>
    <n v="21"/>
    <n v="795.68887742758557"/>
    <s v="Chris"/>
    <s v="Davis"/>
    <x v="37"/>
    <s v="Female"/>
    <n v="0.43835616438356162"/>
    <n v="0.65625"/>
    <n v="37.889946544170741"/>
    <n v="10.899847635994323"/>
    <x v="0"/>
  </r>
  <r>
    <x v="13"/>
    <x v="0"/>
    <n v="85"/>
    <n v="40"/>
    <n v="575.03098352540246"/>
    <n v="20"/>
    <n v="3989.8742751275481"/>
    <s v="Jane"/>
    <s v="Smith"/>
    <x v="38"/>
    <s v="Female"/>
    <n v="0.47058823529411764"/>
    <n v="0.5"/>
    <n v="199.49371375637742"/>
    <n v="46.939697354441741"/>
    <x v="0"/>
  </r>
  <r>
    <x v="14"/>
    <x v="0"/>
    <n v="89"/>
    <n v="51"/>
    <n v="575.30357346877804"/>
    <n v="5"/>
    <n v="2539.7997563661238"/>
    <s v="Jane"/>
    <s v="Smith"/>
    <x v="38"/>
    <s v="Male"/>
    <n v="0.5730337078651685"/>
    <n v="9.8039215686274508E-2"/>
    <n v="507.95995127322476"/>
    <n v="28.537075914226111"/>
    <x v="1"/>
  </r>
  <r>
    <x v="15"/>
    <x v="0"/>
    <n v="73"/>
    <n v="16"/>
    <n v="386.71894406164313"/>
    <n v="5"/>
    <n v="2859.7562119741101"/>
    <s v="Mimi"/>
    <s v="Davis"/>
    <x v="39"/>
    <s v="Female"/>
    <n v="0.21917808219178081"/>
    <n v="0.3125"/>
    <n v="571.95124239482197"/>
    <n v="39.17474262978233"/>
    <x v="0"/>
  </r>
  <r>
    <x v="16"/>
    <x v="0"/>
    <n v="52"/>
    <n v="25"/>
    <n v="415.91860608489958"/>
    <n v="3"/>
    <n v="2483.4323612220269"/>
    <s v="John"/>
    <s v="Brown"/>
    <x v="40"/>
    <s v="Male"/>
    <n v="0.48076923076923078"/>
    <n v="0.12"/>
    <n v="827.810787074009"/>
    <n v="47.758314638885132"/>
    <x v="1"/>
  </r>
  <r>
    <x v="17"/>
    <x v="0"/>
    <n v="71"/>
    <n v="69"/>
    <n v="324.22276098915989"/>
    <n v="29"/>
    <n v="2303.4337739389671"/>
    <s v="Alice"/>
    <s v="Johnson"/>
    <x v="41"/>
    <s v="Male"/>
    <n v="0.971830985915493"/>
    <n v="0.42028985507246375"/>
    <n v="79.428750825481629"/>
    <n v="32.44272921040799"/>
    <x v="0"/>
  </r>
  <r>
    <x v="18"/>
    <x v="0"/>
    <n v="51"/>
    <n v="11"/>
    <n v="246.6053858490323"/>
    <n v="10"/>
    <n v="3018.3814908869799"/>
    <s v="Chris"/>
    <s v="Rodriguez"/>
    <x v="42"/>
    <s v="Female"/>
    <n v="0.21568627450980393"/>
    <n v="0.90909090909090906"/>
    <n v="301.838149088698"/>
    <n v="59.183950801705485"/>
    <x v="0"/>
  </r>
  <r>
    <x v="19"/>
    <x v="0"/>
    <n v="73"/>
    <n v="10"/>
    <n v="264.33227268495801"/>
    <n v="29"/>
    <n v="1198.5811066882061"/>
    <s v="Alice"/>
    <s v="Brown"/>
    <x v="43"/>
    <s v="Female"/>
    <n v="0.13698630136986301"/>
    <n v="2.9"/>
    <n v="41.330382989248484"/>
    <n v="16.418919269701455"/>
    <x v="0"/>
  </r>
  <r>
    <x v="20"/>
    <x v="0"/>
    <n v="93"/>
    <n v="57"/>
    <n v="436.25922803851921"/>
    <n v="30"/>
    <n v="1318.6765872287201"/>
    <s v="Chris"/>
    <s v="Davis"/>
    <x v="37"/>
    <s v="Male"/>
    <n v="0.61290322580645162"/>
    <n v="0.52631578947368418"/>
    <n v="43.955886240957334"/>
    <n v="14.179318142244302"/>
    <x v="0"/>
  </r>
  <r>
    <x v="21"/>
    <x v="0"/>
    <n v="79"/>
    <n v="21"/>
    <n v="476.18726471884003"/>
    <n v="23"/>
    <n v="4378.0352945608283"/>
    <s v="Mimi"/>
    <s v="Williams"/>
    <x v="1"/>
    <s v="Male"/>
    <n v="0.26582278481012656"/>
    <n v="1.0952380952380953"/>
    <n v="190.3493606330795"/>
    <n v="55.418168285580109"/>
    <x v="0"/>
  </r>
  <r>
    <x v="22"/>
    <x v="0"/>
    <n v="87"/>
    <n v="78"/>
    <n v="495.78952186292429"/>
    <n v="8"/>
    <n v="4757.5195796013477"/>
    <s v="Evan"/>
    <s v="Davis"/>
    <x v="44"/>
    <s v="Male"/>
    <n v="0.89655172413793105"/>
    <n v="0.10256410256410256"/>
    <n v="594.68994745016846"/>
    <n v="54.684133098866063"/>
    <x v="1"/>
  </r>
  <r>
    <x v="23"/>
    <x v="1"/>
    <n v="34"/>
    <n v="17"/>
    <n v="380.37"/>
    <n v="7"/>
    <n v="4183.2700000000004"/>
    <s v="Mimi"/>
    <s v="Rodriguez"/>
    <x v="45"/>
    <s v="Female"/>
    <n v="0.5"/>
    <n v="0.41176470588235292"/>
    <n v="597.61"/>
    <n v="123.03735294117648"/>
    <x v="0"/>
  </r>
  <r>
    <x v="23"/>
    <x v="1"/>
    <n v="80"/>
    <n v="50"/>
    <n v="562.73"/>
    <n v="30"/>
    <n v="221.94"/>
    <s v="David"/>
    <s v="Rodriguez"/>
    <x v="46"/>
    <s v="Female"/>
    <n v="0.625"/>
    <n v="0.6"/>
    <n v="7.3979999999999997"/>
    <n v="2.7742499999999999"/>
    <x v="0"/>
  </r>
  <r>
    <x v="23"/>
    <x v="1"/>
    <n v="22"/>
    <n v="17"/>
    <n v="291.97000000000003"/>
    <n v="1"/>
    <n v="1703.6"/>
    <s v="Grace"/>
    <s v="Smith"/>
    <x v="47"/>
    <s v="Male"/>
    <n v="0.77272727272727271"/>
    <n v="5.8823529411764705E-2"/>
    <n v="1703.6"/>
    <n v="77.436363636363637"/>
    <x v="1"/>
  </r>
  <r>
    <x v="23"/>
    <x v="1"/>
    <n v="68"/>
    <n v="7"/>
    <n v="171.76"/>
    <n v="7"/>
    <n v="548.36"/>
    <s v="Josh"/>
    <s v="Jones"/>
    <x v="48"/>
    <s v="Female"/>
    <n v="0.10294117647058823"/>
    <n v="1"/>
    <n v="78.337142857142865"/>
    <n v="8.0641176470588238"/>
    <x v="0"/>
  </r>
  <r>
    <x v="23"/>
    <x v="1"/>
    <n v="62"/>
    <n v="15"/>
    <n v="361.38"/>
    <n v="6"/>
    <n v="4195.1400000000003"/>
    <s v="Evan"/>
    <s v="Miller"/>
    <x v="49"/>
    <s v="Female"/>
    <n v="0.24193548387096775"/>
    <n v="0.4"/>
    <n v="699.19"/>
    <n v="67.663548387096782"/>
    <x v="0"/>
  </r>
  <r>
    <x v="23"/>
    <x v="1"/>
    <n v="83"/>
    <n v="16"/>
    <n v="382.21"/>
    <n v="1"/>
    <n v="3017.43"/>
    <s v="Craig"/>
    <s v="Garcia"/>
    <x v="50"/>
    <s v="Female"/>
    <n v="0.19277108433734941"/>
    <n v="6.25E-2"/>
    <n v="3017.43"/>
    <n v="36.354578313253008"/>
    <x v="1"/>
  </r>
  <r>
    <x v="23"/>
    <x v="1"/>
    <n v="52"/>
    <n v="14"/>
    <n v="382.59"/>
    <n v="3"/>
    <n v="3394.39"/>
    <s v="Diana"/>
    <s v="Miller"/>
    <x v="51"/>
    <s v="Male"/>
    <n v="0.26923076923076922"/>
    <n v="0.21428571428571427"/>
    <n v="1131.4633333333334"/>
    <n v="65.276730769230767"/>
    <x v="0"/>
  </r>
  <r>
    <x v="23"/>
    <x v="1"/>
    <n v="100"/>
    <n v="50"/>
    <n v="79.459999999999994"/>
    <n v="30"/>
    <n v="1638.74"/>
    <s v="Jake"/>
    <s v="Williams"/>
    <x v="27"/>
    <s v="Male"/>
    <n v="0.5"/>
    <n v="0.6"/>
    <n v="54.62466666666667"/>
    <n v="16.3874"/>
    <x v="0"/>
  </r>
  <r>
    <x v="23"/>
    <x v="1"/>
    <n v="93"/>
    <n v="11"/>
    <n v="446.3"/>
    <n v="5"/>
    <n v="1057.1400000000001"/>
    <s v="Liam"/>
    <s v="Jones"/>
    <x v="52"/>
    <s v="Female"/>
    <n v="0.11827956989247312"/>
    <n v="0.45454545454545453"/>
    <n v="211.42800000000003"/>
    <n v="11.36709677419355"/>
    <x v="0"/>
  </r>
  <r>
    <x v="23"/>
    <x v="1"/>
    <n v="65"/>
    <n v="7"/>
    <n v="461.67"/>
    <n v="2"/>
    <n v="3486.23"/>
    <s v="Bob"/>
    <s v="Williams"/>
    <x v="53"/>
    <s v="Male"/>
    <n v="0.1076923076923077"/>
    <n v="0.2857142857142857"/>
    <n v="1743.115"/>
    <n v="53.634307692307694"/>
    <x v="0"/>
  </r>
  <r>
    <x v="23"/>
    <x v="1"/>
    <n v="90"/>
    <n v="20"/>
    <n v="328.63"/>
    <n v="3"/>
    <n v="2662.44"/>
    <s v="Rick"/>
    <s v="Williams"/>
    <x v="54"/>
    <s v="Female"/>
    <n v="0.22222222222222221"/>
    <n v="0.15"/>
    <n v="887.48"/>
    <n v="29.582666666666668"/>
    <x v="1"/>
  </r>
  <r>
    <x v="23"/>
    <x v="1"/>
    <n v="48"/>
    <n v="7"/>
    <n v="247.66"/>
    <n v="6"/>
    <n v="4335.84"/>
    <s v="Charlie"/>
    <s v="Johnson"/>
    <x v="55"/>
    <s v="Female"/>
    <n v="0.14583333333333334"/>
    <n v="0.8571428571428571"/>
    <n v="722.64"/>
    <n v="90.33"/>
    <x v="0"/>
  </r>
  <r>
    <x v="23"/>
    <x v="1"/>
    <n v="37"/>
    <n v="17"/>
    <n v="378.61"/>
    <n v="10"/>
    <n v="1295.07"/>
    <s v="Molly"/>
    <s v="Miller"/>
    <x v="56"/>
    <s v="Female"/>
    <n v="0.45945945945945948"/>
    <n v="0.58823529411764708"/>
    <n v="129.50700000000001"/>
    <n v="35.001891891891887"/>
    <x v="0"/>
  </r>
  <r>
    <x v="23"/>
    <x v="1"/>
    <n v="68"/>
    <n v="16"/>
    <n v="299.58999999999997"/>
    <n v="9"/>
    <n v="979.47"/>
    <s v="Chris"/>
    <s v="Jones"/>
    <x v="57"/>
    <s v="Male"/>
    <n v="0.23529411764705882"/>
    <n v="0.5625"/>
    <n v="108.83"/>
    <n v="14.403970588235294"/>
    <x v="0"/>
  </r>
  <r>
    <x v="23"/>
    <x v="1"/>
    <n v="20"/>
    <n v="9"/>
    <n v="202.4"/>
    <n v="7"/>
    <n v="732.99"/>
    <s v="James"/>
    <s v="Jones"/>
    <x v="15"/>
    <s v="Female"/>
    <n v="0.45"/>
    <n v="0.77777777777777779"/>
    <n v="104.71285714285715"/>
    <n v="36.649500000000003"/>
    <x v="0"/>
  </r>
  <r>
    <x v="23"/>
    <x v="1"/>
    <n v="81"/>
    <n v="14"/>
    <n v="362.96"/>
    <n v="5"/>
    <n v="3620.19"/>
    <s v="Alice"/>
    <s v="Brown"/>
    <x v="43"/>
    <s v="Female"/>
    <n v="0.1728395061728395"/>
    <n v="0.35714285714285715"/>
    <n v="724.03800000000001"/>
    <n v="44.693703703703704"/>
    <x v="0"/>
  </r>
  <r>
    <x v="23"/>
    <x v="1"/>
    <n v="68"/>
    <n v="21"/>
    <n v="553.08000000000004"/>
    <n v="3"/>
    <n v="360.7"/>
    <s v="Paul"/>
    <s v="Davis"/>
    <x v="58"/>
    <s v="Male"/>
    <n v="0.30882352941176472"/>
    <n v="0.14285714285714285"/>
    <n v="120.23333333333333"/>
    <n v="5.3044117647058826"/>
    <x v="1"/>
  </r>
  <r>
    <x v="23"/>
    <x v="1"/>
    <n v="30"/>
    <n v="8"/>
    <n v="223.22"/>
    <n v="2"/>
    <n v="3595.12"/>
    <s v="Ian"/>
    <s v="Williams"/>
    <x v="59"/>
    <s v="Female"/>
    <n v="0.26666666666666666"/>
    <n v="0.25"/>
    <n v="1797.56"/>
    <n v="119.83733333333333"/>
    <x v="0"/>
  </r>
  <r>
    <x v="23"/>
    <x v="1"/>
    <n v="69"/>
    <n v="8"/>
    <n v="199.93"/>
    <n v="2"/>
    <n v="610.66"/>
    <s v="Melissa"/>
    <s v="Johnson"/>
    <x v="11"/>
    <s v="Female"/>
    <n v="0.11594202898550725"/>
    <n v="0.25"/>
    <n v="305.33"/>
    <n v="8.8501449275362312"/>
    <x v="0"/>
  </r>
  <r>
    <x v="23"/>
    <x v="1"/>
    <n v="92"/>
    <n v="6"/>
    <n v="180.46"/>
    <n v="5"/>
    <n v="1173.27"/>
    <s v="Alex"/>
    <s v="Brown"/>
    <x v="60"/>
    <s v="Female"/>
    <n v="6.5217391304347824E-2"/>
    <n v="0.83333333333333337"/>
    <n v="234.654"/>
    <n v="12.752934782608696"/>
    <x v="0"/>
  </r>
  <r>
    <x v="23"/>
    <x v="1"/>
    <n v="92"/>
    <n v="7"/>
    <n v="80.12"/>
    <n v="6"/>
    <n v="3794.02"/>
    <s v="Karol"/>
    <s v="Jones"/>
    <x v="61"/>
    <s v="Female"/>
    <n v="7.6086956521739135E-2"/>
    <n v="0.8571428571428571"/>
    <n v="632.3366666666667"/>
    <n v="41.239347826086956"/>
    <x v="0"/>
  </r>
  <r>
    <x v="23"/>
    <x v="1"/>
    <n v="21"/>
    <n v="14"/>
    <n v="563.79"/>
    <n v="8"/>
    <n v="3616.21"/>
    <s v="Darren"/>
    <s v="Johnson"/>
    <x v="62"/>
    <s v="Female"/>
    <n v="0.66666666666666663"/>
    <n v="0.5714285714285714"/>
    <n v="452.02625"/>
    <n v="172.20047619047619"/>
    <x v="0"/>
  </r>
  <r>
    <x v="23"/>
    <x v="1"/>
    <n v="83"/>
    <n v="20"/>
    <n v="193.39"/>
    <n v="5"/>
    <n v="402.53"/>
    <s v="Will"/>
    <s v="Garcia"/>
    <x v="7"/>
    <s v="Female"/>
    <n v="0.24096385542168675"/>
    <n v="0.25"/>
    <n v="80.506"/>
    <n v="4.8497590361445777"/>
    <x v="0"/>
  </r>
  <r>
    <x v="23"/>
    <x v="1"/>
    <n v="57"/>
    <n v="11"/>
    <n v="454.77"/>
    <n v="1"/>
    <n v="1152.4100000000001"/>
    <s v="Vicky"/>
    <s v="Davis"/>
    <x v="63"/>
    <s v="Female"/>
    <n v="0.19298245614035087"/>
    <n v="9.0909090909090912E-2"/>
    <n v="1152.4100000000001"/>
    <n v="20.217719298245616"/>
    <x v="1"/>
  </r>
  <r>
    <x v="23"/>
    <x v="1"/>
    <n v="35"/>
    <n v="6"/>
    <n v="568.38"/>
    <n v="6"/>
    <n v="3949.69"/>
    <s v="Richard"/>
    <s v="Miller"/>
    <x v="64"/>
    <s v="Female"/>
    <n v="0.17142857142857143"/>
    <n v="1"/>
    <n v="658.28166666666664"/>
    <n v="112.84828571428572"/>
    <x v="0"/>
  </r>
  <r>
    <x v="23"/>
    <x v="1"/>
    <n v="78"/>
    <n v="5"/>
    <n v="553.86"/>
    <n v="1"/>
    <n v="3503.57"/>
    <s v="Emma"/>
    <s v="Miller"/>
    <x v="65"/>
    <s v="Male"/>
    <n v="6.4102564102564097E-2"/>
    <n v="0.2"/>
    <n v="3503.57"/>
    <n v="44.917564102564107"/>
    <x v="0"/>
  </r>
  <r>
    <x v="24"/>
    <x v="1"/>
    <n v="51"/>
    <n v="46"/>
    <n v="494.80907139727702"/>
    <n v="2"/>
    <n v="2179.8919232588878"/>
    <s v="Alice"/>
    <s v="Brown"/>
    <x v="43"/>
    <s v="Male"/>
    <n v="0.90196078431372551"/>
    <n v="4.3478260869565216E-2"/>
    <n v="1089.9459616294439"/>
    <n v="42.742978887429175"/>
    <x v="1"/>
  </r>
  <r>
    <x v="25"/>
    <x v="1"/>
    <n v="70"/>
    <n v="41"/>
    <n v="145.6030515243452"/>
    <n v="30"/>
    <n v="1718.351029145992"/>
    <s v="Evan"/>
    <s v="Martinez"/>
    <x v="66"/>
    <s v="Female"/>
    <n v="0.58571428571428574"/>
    <n v="0.73170731707317072"/>
    <n v="57.278367638199732"/>
    <n v="24.547871844942744"/>
    <x v="0"/>
  </r>
  <r>
    <x v="26"/>
    <x v="1"/>
    <n v="82"/>
    <n v="18"/>
    <n v="347.21015235129067"/>
    <n v="39"/>
    <n v="3397.9979445755712"/>
    <s v="Jake"/>
    <s v="Smith"/>
    <x v="67"/>
    <s v="Female"/>
    <n v="0.21951219512195122"/>
    <n v="2.1666666666666665"/>
    <n v="87.128152425014648"/>
    <n v="41.438999324092329"/>
    <x v="0"/>
  </r>
  <r>
    <x v="27"/>
    <x v="1"/>
    <n v="61"/>
    <n v="28"/>
    <n v="128.77938000832211"/>
    <n v="36"/>
    <n v="2339.303769941434"/>
    <s v="John"/>
    <s v="Smith"/>
    <x v="29"/>
    <s v="Female"/>
    <n v="0.45901639344262296"/>
    <n v="1.2857142857142858"/>
    <n v="64.980660276150942"/>
    <n v="38.349242130187442"/>
    <x v="0"/>
  </r>
  <r>
    <x v="28"/>
    <x v="1"/>
    <n v="71"/>
    <n v="57"/>
    <n v="374.76444116186781"/>
    <n v="35"/>
    <n v="614.23860047155188"/>
    <s v="John"/>
    <s v="Garcia"/>
    <x v="68"/>
    <s v="Female"/>
    <n v="0.80281690140845074"/>
    <n v="0.61403508771929827"/>
    <n v="17.549674299187195"/>
    <n v="8.65124789396552"/>
    <x v="0"/>
  </r>
  <r>
    <x v="29"/>
    <x v="1"/>
    <n v="93"/>
    <n v="12"/>
    <n v="320.76525068668849"/>
    <n v="23"/>
    <n v="1202.686688147857"/>
    <s v="Anna"/>
    <s v="Garcia"/>
    <x v="69"/>
    <s v="Female"/>
    <n v="0.12903225806451613"/>
    <n v="1.9166666666666667"/>
    <n v="52.290725571645957"/>
    <n v="12.932114926321043"/>
    <x v="0"/>
  </r>
  <r>
    <x v="30"/>
    <x v="1"/>
    <n v="74"/>
    <n v="29"/>
    <n v="543.8520913791499"/>
    <n v="30"/>
    <n v="3721.8750298132891"/>
    <s v="Mimi"/>
    <s v="Davis"/>
    <x v="39"/>
    <s v="Male"/>
    <n v="0.39189189189189189"/>
    <n v="1.0344827586206897"/>
    <n v="124.0625009937763"/>
    <n v="50.295608510990391"/>
    <x v="0"/>
  </r>
  <r>
    <x v="31"/>
    <x v="1"/>
    <n v="98"/>
    <n v="33"/>
    <n v="275.45750627603928"/>
    <n v="5"/>
    <n v="3465.1577385956812"/>
    <s v="Evan"/>
    <s v="Rodriguez"/>
    <x v="70"/>
    <s v="Female"/>
    <n v="0.33673469387755101"/>
    <n v="0.15151515151515152"/>
    <n v="693.03154771913626"/>
    <n v="35.358752434649809"/>
    <x v="1"/>
  </r>
  <r>
    <x v="32"/>
    <x v="1"/>
    <n v="76"/>
    <n v="63"/>
    <n v="158.53350821380289"/>
    <n v="1"/>
    <n v="621.93196626567567"/>
    <s v="Jane"/>
    <s v="Williams"/>
    <x v="36"/>
    <s v="Female"/>
    <n v="0.82894736842105265"/>
    <n v="1.5873015873015872E-2"/>
    <n v="621.93196626567567"/>
    <n v="8.1833153456009953"/>
    <x v="1"/>
  </r>
  <r>
    <x v="33"/>
    <x v="1"/>
    <n v="91"/>
    <n v="42"/>
    <n v="171.49584102641791"/>
    <n v="19"/>
    <n v="1498.874728698273"/>
    <s v="Chris"/>
    <s v="Martinez"/>
    <x v="71"/>
    <s v="Female"/>
    <n v="0.46153846153846156"/>
    <n v="0.45238095238095238"/>
    <n v="78.888143615698581"/>
    <n v="16.471150864816188"/>
    <x v="0"/>
  </r>
  <r>
    <x v="34"/>
    <x v="1"/>
    <n v="77"/>
    <n v="33"/>
    <n v="480.75531585873608"/>
    <n v="27"/>
    <n v="1539.8365846463209"/>
    <s v="John"/>
    <s v="Johnson"/>
    <x v="72"/>
    <s v="Female"/>
    <n v="0.42857142857142855"/>
    <n v="0.81818181818181823"/>
    <n v="57.030984616530404"/>
    <n v="19.997877722679494"/>
    <x v="0"/>
  </r>
  <r>
    <x v="35"/>
    <x v="1"/>
    <n v="65"/>
    <n v="45"/>
    <n v="409.1090316581305"/>
    <n v="10"/>
    <n v="3523.5173461942782"/>
    <s v="Alice"/>
    <s v="Brown"/>
    <x v="43"/>
    <s v="Female"/>
    <n v="0.69230769230769229"/>
    <n v="0.22222222222222221"/>
    <n v="352.35173461942782"/>
    <n v="54.207959172219667"/>
    <x v="0"/>
  </r>
  <r>
    <x v="36"/>
    <x v="1"/>
    <n v="64"/>
    <n v="47"/>
    <n v="150.56133806139511"/>
    <n v="3"/>
    <n v="588.69741989463864"/>
    <s v="Chris"/>
    <s v="Rodriguez"/>
    <x v="42"/>
    <s v="Male"/>
    <n v="0.734375"/>
    <n v="6.3829787234042548E-2"/>
    <n v="196.23247329821288"/>
    <n v="9.1983971858537288"/>
    <x v="1"/>
  </r>
  <r>
    <x v="37"/>
    <x v="1"/>
    <n v="96"/>
    <n v="34"/>
    <n v="142.05340305749871"/>
    <n v="14"/>
    <n v="968.48861893058233"/>
    <s v="Chris"/>
    <s v="Williams"/>
    <x v="73"/>
    <s v="Male"/>
    <n v="0.35416666666666669"/>
    <n v="0.41176470588235292"/>
    <n v="69.177758495041601"/>
    <n v="10.088423113860232"/>
    <x v="0"/>
  </r>
  <r>
    <x v="38"/>
    <x v="1"/>
    <n v="93"/>
    <n v="27"/>
    <n v="450.48456572956002"/>
    <n v="5"/>
    <n v="4099.6223841793526"/>
    <s v="Anna"/>
    <s v="Garcia"/>
    <x v="69"/>
    <s v="Male"/>
    <n v="0.29032258064516131"/>
    <n v="0.18518518518518517"/>
    <n v="819.92447683587056"/>
    <n v="44.081961120208092"/>
    <x v="1"/>
  </r>
  <r>
    <x v="39"/>
    <x v="1"/>
    <n v="52"/>
    <n v="75"/>
    <n v="136.38150318209679"/>
    <n v="29"/>
    <n v="1303.450979244501"/>
    <s v="Evan"/>
    <s v="Davis"/>
    <x v="44"/>
    <s v="Female"/>
    <n v="1.4423076923076923"/>
    <n v="0.38666666666666666"/>
    <n v="44.946585491189687"/>
    <n v="25.066364985471175"/>
    <x v="0"/>
  </r>
  <r>
    <x v="40"/>
    <x v="1"/>
    <n v="86"/>
    <n v="63"/>
    <n v="510.93002964517808"/>
    <n v="37"/>
    <n v="3437.3574853334362"/>
    <s v="John"/>
    <s v="Brown"/>
    <x v="40"/>
    <s v="Male"/>
    <n v="0.73255813953488369"/>
    <n v="0.58730158730158732"/>
    <n v="92.901553657660443"/>
    <n v="39.969273085272512"/>
    <x v="0"/>
  </r>
  <r>
    <x v="41"/>
    <x v="1"/>
    <n v="56"/>
    <n v="44"/>
    <n v="453.12111357824813"/>
    <n v="1"/>
    <n v="1571.8225147102689"/>
    <s v="Chris"/>
    <s v="Garcia"/>
    <x v="35"/>
    <s v="Male"/>
    <n v="0.7857142857142857"/>
    <n v="2.2727272727272728E-2"/>
    <n v="1571.8225147102689"/>
    <n v="28.068259191254803"/>
    <x v="1"/>
  </r>
  <r>
    <x v="42"/>
    <x v="1"/>
    <n v="70"/>
    <n v="70"/>
    <n v="140.6743903209499"/>
    <n v="14"/>
    <n v="947.48626741705323"/>
    <s v="John"/>
    <s v="Davis"/>
    <x v="74"/>
    <s v="Female"/>
    <n v="1"/>
    <n v="0.2"/>
    <n v="67.677590529789512"/>
    <n v="13.535518105957904"/>
    <x v="0"/>
  </r>
  <r>
    <x v="43"/>
    <x v="1"/>
    <n v="58"/>
    <n v="50"/>
    <n v="142.41885704259599"/>
    <n v="10"/>
    <n v="1594.274859497543"/>
    <s v="Jane"/>
    <s v="Brown"/>
    <x v="75"/>
    <s v="Female"/>
    <n v="0.86206896551724133"/>
    <n v="0.2"/>
    <n v="159.4274859497543"/>
    <n v="27.487497577543845"/>
    <x v="0"/>
  </r>
  <r>
    <x v="44"/>
    <x v="2"/>
    <n v="31"/>
    <n v="9"/>
    <n v="209.18"/>
    <n v="2"/>
    <n v="4153.3100000000004"/>
    <s v="Ian"/>
    <s v="Johnson"/>
    <x v="76"/>
    <s v="Male"/>
    <n v="0.29032258064516131"/>
    <n v="0.22222222222222221"/>
    <n v="2076.6550000000002"/>
    <n v="133.97774193548389"/>
    <x v="0"/>
  </r>
  <r>
    <x v="44"/>
    <x v="2"/>
    <n v="21"/>
    <n v="14"/>
    <n v="498.82"/>
    <n v="5"/>
    <n v="4039.26"/>
    <s v="Darren"/>
    <s v="Rodriguez"/>
    <x v="77"/>
    <s v="Female"/>
    <n v="0.66666666666666663"/>
    <n v="0.35714285714285715"/>
    <n v="807.85200000000009"/>
    <n v="192.34571428571431"/>
    <x v="0"/>
  </r>
  <r>
    <x v="44"/>
    <x v="2"/>
    <n v="16"/>
    <n v="9"/>
    <n v="199.87"/>
    <n v="9"/>
    <n v="818.64"/>
    <s v="James"/>
    <s v="Rodriguez"/>
    <x v="78"/>
    <s v="Male"/>
    <n v="0.5625"/>
    <n v="1"/>
    <n v="90.96"/>
    <n v="51.164999999999999"/>
    <x v="0"/>
  </r>
  <r>
    <x v="44"/>
    <x v="2"/>
    <n v="30"/>
    <n v="5"/>
    <n v="565.19000000000005"/>
    <n v="4"/>
    <n v="3621.51"/>
    <s v="Richard"/>
    <s v="Williams"/>
    <x v="79"/>
    <s v="Male"/>
    <n v="0.16666666666666666"/>
    <n v="0.8"/>
    <n v="905.37750000000005"/>
    <n v="120.71700000000001"/>
    <x v="0"/>
  </r>
  <r>
    <x v="44"/>
    <x v="2"/>
    <n v="68"/>
    <n v="19"/>
    <n v="623.25"/>
    <n v="3"/>
    <n v="355.96"/>
    <s v="Paul"/>
    <s v="Davis"/>
    <x v="58"/>
    <s v="Female"/>
    <n v="0.27941176470588236"/>
    <n v="0.15789473684210525"/>
    <n v="118.65333333333332"/>
    <n v="5.2347058823529409"/>
    <x v="1"/>
  </r>
  <r>
    <x v="44"/>
    <x v="2"/>
    <n v="61"/>
    <n v="7"/>
    <n v="190.5"/>
    <n v="3"/>
    <n v="661.2"/>
    <s v="Melissa"/>
    <s v="Williams"/>
    <x v="80"/>
    <s v="Female"/>
    <n v="0.11475409836065574"/>
    <n v="0.42857142857142855"/>
    <n v="220.4"/>
    <n v="10.839344262295082"/>
    <x v="0"/>
  </r>
  <r>
    <x v="44"/>
    <x v="2"/>
    <n v="83"/>
    <n v="5"/>
    <n v="170.12"/>
    <n v="3"/>
    <n v="1171.95"/>
    <s v="Alex"/>
    <s v="Miller"/>
    <x v="81"/>
    <s v="Male"/>
    <n v="6.0240963855421686E-2"/>
    <n v="0.6"/>
    <n v="390.65000000000003"/>
    <n v="14.11987951807229"/>
    <x v="0"/>
  </r>
  <r>
    <x v="44"/>
    <x v="2"/>
    <n v="74"/>
    <n v="7"/>
    <n v="87.89"/>
    <n v="7"/>
    <n v="3848.14"/>
    <s v="Karol"/>
    <s v="Johnson"/>
    <x v="82"/>
    <s v="Male"/>
    <n v="9.45945945945946E-2"/>
    <n v="1"/>
    <n v="549.73428571428565"/>
    <n v="52.001891891891887"/>
    <x v="0"/>
  </r>
  <r>
    <x v="44"/>
    <x v="2"/>
    <n v="84"/>
    <n v="15"/>
    <n v="163.21"/>
    <n v="5"/>
    <n v="411.36"/>
    <s v="Will"/>
    <s v="Williams"/>
    <x v="83"/>
    <s v="Male"/>
    <n v="0.17857142857142858"/>
    <n v="0.33333333333333331"/>
    <n v="82.272000000000006"/>
    <n v="4.8971428571428577"/>
    <x v="0"/>
  </r>
  <r>
    <x v="44"/>
    <x v="2"/>
    <n v="64"/>
    <n v="13"/>
    <n v="496.4"/>
    <n v="0"/>
    <n v="1306.3800000000001"/>
    <s v="Vicky"/>
    <s v="Rodriguez"/>
    <x v="84"/>
    <s v="Male"/>
    <n v="0.203125"/>
    <n v="0"/>
    <n v="0"/>
    <n v="20.412187500000002"/>
    <x v="1"/>
  </r>
  <r>
    <x v="44"/>
    <x v="2"/>
    <n v="21"/>
    <n v="13"/>
    <n v="315.41000000000003"/>
    <n v="1"/>
    <n v="1692.59"/>
    <s v="Grace"/>
    <s v="Rodriguez"/>
    <x v="5"/>
    <s v="Female"/>
    <n v="0.61904761904761907"/>
    <n v="7.6923076923076927E-2"/>
    <n v="1692.59"/>
    <n v="80.599523809523802"/>
    <x v="1"/>
  </r>
  <r>
    <x v="44"/>
    <x v="2"/>
    <n v="110"/>
    <n v="6"/>
    <n v="535.37"/>
    <n v="2"/>
    <n v="3113.29"/>
    <s v="Emma"/>
    <s v="Smith"/>
    <x v="85"/>
    <s v="Male"/>
    <n v="5.4545454545454543E-2"/>
    <n v="0.33333333333333331"/>
    <n v="1556.645"/>
    <n v="28.302636363636363"/>
    <x v="0"/>
  </r>
  <r>
    <x v="44"/>
    <x v="2"/>
    <n v="54"/>
    <n v="15"/>
    <n v="321.99"/>
    <n v="8"/>
    <n v="1080.0899999999999"/>
    <s v="Chris"/>
    <s v="Brown"/>
    <x v="86"/>
    <s v="Female"/>
    <n v="0.27777777777777779"/>
    <n v="0.53333333333333333"/>
    <n v="135.01124999999999"/>
    <n v="20.001666666666665"/>
    <x v="0"/>
  </r>
  <r>
    <x v="44"/>
    <x v="2"/>
    <n v="62"/>
    <n v="8"/>
    <n v="198.84"/>
    <n v="8"/>
    <n v="534.58000000000004"/>
    <s v="Josh"/>
    <s v="Garcia"/>
    <x v="87"/>
    <s v="Male"/>
    <n v="0.12903225806451613"/>
    <n v="1"/>
    <n v="66.822500000000005"/>
    <n v="8.6222580645161297"/>
    <x v="0"/>
  </r>
  <r>
    <x v="44"/>
    <x v="2"/>
    <n v="28"/>
    <n v="12"/>
    <n v="533.85"/>
    <n v="5"/>
    <n v="224.87"/>
    <s v="David"/>
    <s v="Williams"/>
    <x v="88"/>
    <s v="Male"/>
    <n v="0.42857142857142855"/>
    <n v="0.41666666666666669"/>
    <n v="44.974000000000004"/>
    <n v="8.031071428571428"/>
    <x v="0"/>
  </r>
  <r>
    <x v="44"/>
    <x v="2"/>
    <n v="39"/>
    <n v="16"/>
    <n v="312.8"/>
    <n v="8"/>
    <n v="4592.09"/>
    <s v="Mimi"/>
    <s v="Smith"/>
    <x v="89"/>
    <s v="Female"/>
    <n v="0.41025641025641024"/>
    <n v="0.5"/>
    <n v="574.01125000000002"/>
    <n v="117.74589743589743"/>
    <x v="0"/>
  </r>
  <r>
    <x v="44"/>
    <x v="2"/>
    <n v="62"/>
    <n v="9"/>
    <n v="252.77"/>
    <n v="7"/>
    <n v="4641.6099999999997"/>
    <s v="Charlie"/>
    <s v="Williams"/>
    <x v="90"/>
    <s v="Male"/>
    <n v="0.14516129032258066"/>
    <n v="0.77777777777777779"/>
    <n v="663.08714285714279"/>
    <n v="74.864677419354834"/>
    <x v="0"/>
  </r>
  <r>
    <x v="44"/>
    <x v="2"/>
    <n v="88"/>
    <n v="18"/>
    <n v="291.04000000000002"/>
    <n v="2"/>
    <n v="2619.84"/>
    <s v="Rick"/>
    <s v="Garcia"/>
    <x v="91"/>
    <s v="Male"/>
    <n v="0.20454545454545456"/>
    <n v="0.1111111111111111"/>
    <n v="1309.92"/>
    <n v="29.770909090909093"/>
    <x v="1"/>
  </r>
  <r>
    <x v="44"/>
    <x v="2"/>
    <n v="50"/>
    <n v="8"/>
    <n v="512.92999999999995"/>
    <n v="3"/>
    <n v="3725.66"/>
    <s v="Bob"/>
    <s v="Garcia"/>
    <x v="92"/>
    <s v="Male"/>
    <n v="0.16"/>
    <n v="0.375"/>
    <n v="1241.8866666666665"/>
    <n v="74.513199999999998"/>
    <x v="0"/>
  </r>
  <r>
    <x v="44"/>
    <x v="2"/>
    <n v="77"/>
    <n v="14"/>
    <n v="494.43"/>
    <n v="4"/>
    <n v="963.35"/>
    <s v="Liam"/>
    <s v="Johnson"/>
    <x v="93"/>
    <s v="Female"/>
    <n v="0.18181818181818182"/>
    <n v="0.2857142857142857"/>
    <n v="240.83750000000001"/>
    <n v="12.511038961038961"/>
    <x v="0"/>
  </r>
  <r>
    <x v="44"/>
    <x v="2"/>
    <n v="19"/>
    <n v="6"/>
    <n v="82.65"/>
    <n v="3"/>
    <n v="1469.62"/>
    <s v="Jake"/>
    <s v="Williams"/>
    <x v="27"/>
    <s v="Female"/>
    <n v="0.31578947368421051"/>
    <n v="0.5"/>
    <n v="489.87333333333328"/>
    <n v="77.348421052631579"/>
    <x v="0"/>
  </r>
  <r>
    <x v="44"/>
    <x v="2"/>
    <n v="59"/>
    <n v="13"/>
    <n v="402.9"/>
    <n v="2"/>
    <n v="3357.27"/>
    <s v="Diana"/>
    <s v="Williams"/>
    <x v="94"/>
    <s v="Male"/>
    <n v="0.22033898305084745"/>
    <n v="0.15384615384615385"/>
    <n v="1678.635"/>
    <n v="56.902881355932202"/>
    <x v="1"/>
  </r>
  <r>
    <x v="44"/>
    <x v="2"/>
    <n v="91"/>
    <n v="10"/>
    <n v="361.58"/>
    <n v="4"/>
    <n v="3674.37"/>
    <s v="Alice"/>
    <s v="Brown"/>
    <x v="43"/>
    <s v="Male"/>
    <n v="0.10989010989010989"/>
    <n v="0.4"/>
    <n v="918.59249999999997"/>
    <n v="40.377692307692307"/>
    <x v="0"/>
  </r>
  <r>
    <x v="44"/>
    <x v="2"/>
    <n v="55"/>
    <n v="17"/>
    <n v="315.62"/>
    <n v="5"/>
    <n v="3890.73"/>
    <s v="Evan"/>
    <s v="Rodriguez"/>
    <x v="70"/>
    <s v="Female"/>
    <n v="0.30909090909090908"/>
    <n v="0.29411764705882354"/>
    <n v="778.14599999999996"/>
    <n v="70.740545454545455"/>
    <x v="0"/>
  </r>
  <r>
    <x v="44"/>
    <x v="2"/>
    <n v="108"/>
    <n v="14"/>
    <n v="416.78"/>
    <n v="1"/>
    <n v="2989.69"/>
    <s v="Craig"/>
    <s v="Garcia"/>
    <x v="50"/>
    <s v="Male"/>
    <n v="0.12962962962962962"/>
    <n v="7.1428571428571425E-2"/>
    <n v="2989.69"/>
    <n v="27.682314814814816"/>
    <x v="1"/>
  </r>
  <r>
    <x v="44"/>
    <x v="2"/>
    <n v="33"/>
    <n v="18"/>
    <n v="348.57"/>
    <n v="8"/>
    <n v="1169.6400000000001"/>
    <s v="Molly"/>
    <s v="Miller"/>
    <x v="56"/>
    <s v="Male"/>
    <n v="0.54545454545454541"/>
    <n v="0.44444444444444442"/>
    <n v="146.20500000000001"/>
    <n v="35.443636363636365"/>
    <x v="0"/>
  </r>
  <r>
    <x v="45"/>
    <x v="2"/>
    <n v="88"/>
    <n v="42"/>
    <n v="593.31978925058775"/>
    <n v="7"/>
    <n v="3750.2011933504659"/>
    <s v="Anna"/>
    <s v="Johnson"/>
    <x v="95"/>
    <s v="Female"/>
    <n v="0.47727272727272729"/>
    <n v="0.16666666666666666"/>
    <n v="535.74302762149512"/>
    <n v="42.615922651709838"/>
    <x v="1"/>
  </r>
  <r>
    <x v="46"/>
    <x v="2"/>
    <n v="67"/>
    <n v="77"/>
    <n v="287.13539787806019"/>
    <n v="25"/>
    <n v="4350.6341064782864"/>
    <s v="Jane"/>
    <s v="Williams"/>
    <x v="36"/>
    <s v="Male"/>
    <n v="1.1492537313432836"/>
    <n v="0.32467532467532467"/>
    <n v="174.02536425913146"/>
    <n v="64.934837410123677"/>
    <x v="0"/>
  </r>
  <r>
    <x v="47"/>
    <x v="2"/>
    <n v="53"/>
    <n v="42"/>
    <n v="285.32107353344537"/>
    <n v="4"/>
    <n v="4235.9893905514618"/>
    <s v="John"/>
    <s v="Brown"/>
    <x v="40"/>
    <s v="Male"/>
    <n v="0.79245283018867929"/>
    <n v="9.5238095238095233E-2"/>
    <n v="1058.9973476378655"/>
    <n v="79.924328123612483"/>
    <x v="1"/>
  </r>
  <r>
    <x v="48"/>
    <x v="2"/>
    <n v="74"/>
    <n v="23"/>
    <n v="506.39978362875132"/>
    <n v="5"/>
    <n v="2287.325883283047"/>
    <s v="Jake"/>
    <s v="Martinez"/>
    <x v="96"/>
    <s v="Female"/>
    <n v="0.3108108108108108"/>
    <n v="0.21739130434782608"/>
    <n v="457.4651766566094"/>
    <n v="30.909809233554689"/>
    <x v="0"/>
  </r>
  <r>
    <x v="49"/>
    <x v="2"/>
    <n v="63"/>
    <n v="30"/>
    <n v="573.62428869192934"/>
    <n v="25"/>
    <n v="3506.3831145679078"/>
    <s v="Alice"/>
    <s v="Rodriguez"/>
    <x v="97"/>
    <s v="Female"/>
    <n v="0.47619047619047616"/>
    <n v="0.83333333333333337"/>
    <n v="140.2553245827163"/>
    <n v="55.656874834411234"/>
    <x v="0"/>
  </r>
  <r>
    <x v="50"/>
    <x v="2"/>
    <n v="99"/>
    <n v="57"/>
    <n v="593.00053191143547"/>
    <n v="3"/>
    <n v="1422.4293293711939"/>
    <s v="John"/>
    <s v="Smith"/>
    <x v="29"/>
    <s v="Male"/>
    <n v="0.5757575757575758"/>
    <n v="5.2631578947368418E-2"/>
    <n v="474.143109790398"/>
    <n v="14.367973023951453"/>
    <x v="1"/>
  </r>
  <r>
    <x v="51"/>
    <x v="2"/>
    <n v="58"/>
    <n v="29"/>
    <n v="476.68909262947079"/>
    <n v="18"/>
    <n v="1819.16478617456"/>
    <s v="Evan"/>
    <s v="Martinez"/>
    <x v="66"/>
    <s v="Male"/>
    <n v="0.5"/>
    <n v="0.62068965517241381"/>
    <n v="101.06471034303111"/>
    <n v="31.364910106457931"/>
    <x v="0"/>
  </r>
  <r>
    <x v="52"/>
    <x v="2"/>
    <n v="75"/>
    <n v="17"/>
    <n v="288.12979276545792"/>
    <n v="19"/>
    <n v="4533.5111833450392"/>
    <s v="Chris"/>
    <s v="Martinez"/>
    <x v="71"/>
    <s v="Female"/>
    <n v="0.22666666666666666"/>
    <n v="1.1176470588235294"/>
    <n v="238.60585175500205"/>
    <n v="60.446815777933857"/>
    <x v="0"/>
  </r>
  <r>
    <x v="53"/>
    <x v="2"/>
    <n v="51"/>
    <n v="16"/>
    <n v="141.75035834933439"/>
    <n v="32"/>
    <n v="558.50865579831213"/>
    <s v="Chris"/>
    <s v="Rodriguez"/>
    <x v="42"/>
    <s v="Female"/>
    <n v="0.31372549019607843"/>
    <n v="2"/>
    <n v="17.453395493697254"/>
    <n v="10.951150113692394"/>
    <x v="0"/>
  </r>
  <r>
    <x v="54"/>
    <x v="2"/>
    <n v="69"/>
    <n v="76"/>
    <n v="488.5734579637184"/>
    <n v="19"/>
    <n v="884.78838884510628"/>
    <s v="Jane"/>
    <s v="Smith"/>
    <x v="38"/>
    <s v="Male"/>
    <n v="1.1014492753623188"/>
    <n v="0.25"/>
    <n v="46.567809939216119"/>
    <n v="12.823020128189945"/>
    <x v="0"/>
  </r>
  <r>
    <x v="55"/>
    <x v="2"/>
    <n v="77"/>
    <n v="26"/>
    <n v="379.20212486790251"/>
    <n v="11"/>
    <n v="1435.4881481571231"/>
    <s v="Alice"/>
    <s v="Martinez"/>
    <x v="98"/>
    <s v="Female"/>
    <n v="0.33766233766233766"/>
    <n v="0.42307692307692307"/>
    <n v="130.49892255973847"/>
    <n v="18.64270322281978"/>
    <x v="0"/>
  </r>
  <r>
    <x v="56"/>
    <x v="2"/>
    <n v="96"/>
    <n v="42"/>
    <n v="312.11100462348821"/>
    <n v="0"/>
    <n v="619.39491743218878"/>
    <s v="Anna"/>
    <s v="Brown"/>
    <x v="31"/>
    <s v="Male"/>
    <n v="0.4375"/>
    <n v="0"/>
    <n v="0"/>
    <n v="6.4520303899186331"/>
    <x v="1"/>
  </r>
  <r>
    <x v="57"/>
    <x v="2"/>
    <n v="56"/>
    <n v="57"/>
    <n v="553.17719254736801"/>
    <n v="25"/>
    <n v="1316.4594579040879"/>
    <s v="Jake"/>
    <s v="Brown"/>
    <x v="99"/>
    <s v="Male"/>
    <n v="1.0178571428571428"/>
    <n v="0.43859649122807015"/>
    <n v="52.658378316163514"/>
    <n v="23.508204605430141"/>
    <x v="0"/>
  </r>
  <r>
    <x v="58"/>
    <x v="2"/>
    <n v="93"/>
    <n v="68"/>
    <n v="155.59874115307571"/>
    <n v="13"/>
    <n v="3123.6870243636149"/>
    <s v="Mimi"/>
    <s v="Brown"/>
    <x v="100"/>
    <s v="Male"/>
    <n v="0.73118279569892475"/>
    <n v="0.19117647058823528"/>
    <n v="240.28361725873961"/>
    <n v="33.588032520038873"/>
    <x v="1"/>
  </r>
  <r>
    <x v="59"/>
    <x v="2"/>
    <n v="57"/>
    <n v="31"/>
    <n v="346.31255214542949"/>
    <n v="37"/>
    <n v="2396.4104776662411"/>
    <s v="Alice"/>
    <s v="Smith"/>
    <x v="24"/>
    <s v="Male"/>
    <n v="0.54385964912280704"/>
    <n v="1.1935483870967742"/>
    <n v="64.767850747736247"/>
    <n v="42.042289081863878"/>
    <x v="0"/>
  </r>
  <r>
    <x v="60"/>
    <x v="2"/>
    <n v="96"/>
    <n v="39"/>
    <n v="105.67682238370951"/>
    <n v="36"/>
    <n v="4517.0226998463868"/>
    <s v="Chris"/>
    <s v="Martinez"/>
    <x v="71"/>
    <s v="Female"/>
    <n v="0.40625"/>
    <n v="0.92307692307692313"/>
    <n v="125.47285277351074"/>
    <n v="47.052319790066527"/>
    <x v="0"/>
  </r>
  <r>
    <x v="61"/>
    <x v="2"/>
    <n v="84"/>
    <n v="47"/>
    <n v="334.33032099706321"/>
    <n v="10"/>
    <n v="4178.4960278229846"/>
    <s v="Evan"/>
    <s v="Davis"/>
    <x v="44"/>
    <s v="Female"/>
    <n v="0.55952380952380953"/>
    <n v="0.21276595744680851"/>
    <n v="417.84960278229846"/>
    <n v="49.744000331226005"/>
    <x v="0"/>
  </r>
  <r>
    <x v="62"/>
    <x v="2"/>
    <n v="63"/>
    <n v="60"/>
    <n v="128.15163784091871"/>
    <n v="35"/>
    <n v="2038.178082640442"/>
    <s v="Alice"/>
    <s v="Smith"/>
    <x v="24"/>
    <s v="Male"/>
    <n v="0.95238095238095233"/>
    <n v="0.58333333333333337"/>
    <n v="58.233659504012628"/>
    <n v="32.352033057784794"/>
    <x v="0"/>
  </r>
  <r>
    <x v="63"/>
    <x v="2"/>
    <n v="66"/>
    <n v="63"/>
    <n v="159.408958134036"/>
    <n v="12"/>
    <n v="1667.4054504408159"/>
    <s v="Jane"/>
    <s v="Brown"/>
    <x v="75"/>
    <s v="Male"/>
    <n v="0.95454545454545459"/>
    <n v="0.19047619047619047"/>
    <n v="138.95045420340134"/>
    <n v="25.26371894607297"/>
    <x v="1"/>
  </r>
  <r>
    <x v="64"/>
    <x v="2"/>
    <n v="85"/>
    <n v="17"/>
    <n v="158.76312338855249"/>
    <n v="2"/>
    <n v="2208.6158367527009"/>
    <s v="Jane"/>
    <s v="Rodriguez"/>
    <x v="101"/>
    <s v="Male"/>
    <n v="0.2"/>
    <n v="0.11764705882352941"/>
    <n v="1104.3079183763505"/>
    <n v="25.983715726502364"/>
    <x v="1"/>
  </r>
  <r>
    <x v="65"/>
    <x v="3"/>
    <n v="83"/>
    <n v="11"/>
    <n v="365.12"/>
    <n v="5"/>
    <n v="3682.69"/>
    <s v="Alice"/>
    <s v="Smith"/>
    <x v="24"/>
    <s v="Male"/>
    <n v="0.13253012048192772"/>
    <n v="0.45454545454545453"/>
    <n v="736.53800000000001"/>
    <n v="44.369759036144579"/>
    <x v="0"/>
  </r>
  <r>
    <x v="65"/>
    <x v="3"/>
    <n v="41"/>
    <n v="14"/>
    <n v="416.88"/>
    <n v="2"/>
    <n v="3638.83"/>
    <s v="Diana"/>
    <s v="Miller"/>
    <x v="51"/>
    <s v="Female"/>
    <n v="0.34146341463414637"/>
    <n v="0.14285714285714285"/>
    <n v="1819.415"/>
    <n v="88.751951219512193"/>
    <x v="1"/>
  </r>
  <r>
    <x v="65"/>
    <x v="3"/>
    <n v="17"/>
    <n v="7"/>
    <n v="81.14"/>
    <n v="3"/>
    <n v="1419.04"/>
    <s v="Jake"/>
    <s v="Smith"/>
    <x v="67"/>
    <s v="Male"/>
    <n v="0.41176470588235292"/>
    <n v="0.42857142857142855"/>
    <n v="473.01333333333332"/>
    <n v="83.472941176470584"/>
    <x v="0"/>
  </r>
  <r>
    <x v="65"/>
    <x v="3"/>
    <n v="76"/>
    <n v="16"/>
    <n v="449.04"/>
    <n v="4"/>
    <n v="1019.97"/>
    <s v="Liam"/>
    <s v="Miller"/>
    <x v="102"/>
    <s v="Male"/>
    <n v="0.21052631578947367"/>
    <n v="0.25"/>
    <n v="254.99250000000001"/>
    <n v="13.420657894736843"/>
    <x v="0"/>
  </r>
  <r>
    <x v="65"/>
    <x v="3"/>
    <n v="72"/>
    <n v="6"/>
    <n v="508.55"/>
    <n v="3"/>
    <n v="3633.75"/>
    <s v="Bob"/>
    <s v="Smith"/>
    <x v="103"/>
    <s v="Female"/>
    <n v="8.3333333333333329E-2"/>
    <n v="0.5"/>
    <n v="1211.25"/>
    <n v="50.46875"/>
    <x v="0"/>
  </r>
  <r>
    <x v="65"/>
    <x v="3"/>
    <n v="72"/>
    <n v="18"/>
    <n v="299.08999999999997"/>
    <n v="2"/>
    <n v="2378.29"/>
    <s v="Rick"/>
    <s v="Miller"/>
    <x v="104"/>
    <s v="Female"/>
    <n v="0.25"/>
    <n v="0.1111111111111111"/>
    <n v="1189.145"/>
    <n v="33.031805555555557"/>
    <x v="1"/>
  </r>
  <r>
    <x v="65"/>
    <x v="3"/>
    <n v="91"/>
    <n v="5"/>
    <n v="605.11"/>
    <n v="2"/>
    <n v="3499.88"/>
    <s v="Emma"/>
    <s v="Martinez"/>
    <x v="105"/>
    <s v="Female"/>
    <n v="5.4945054945054944E-2"/>
    <n v="0.4"/>
    <n v="1749.94"/>
    <n v="38.460219780219781"/>
    <x v="0"/>
  </r>
  <r>
    <x v="65"/>
    <x v="3"/>
    <n v="29"/>
    <n v="16"/>
    <n v="412.07"/>
    <n v="10"/>
    <n v="1075.94"/>
    <s v="Molly"/>
    <s v="Martinez"/>
    <x v="106"/>
    <s v="Male"/>
    <n v="0.55172413793103448"/>
    <n v="0.625"/>
    <n v="107.59400000000001"/>
    <n v="37.101379310344832"/>
    <x v="0"/>
  </r>
  <r>
    <x v="65"/>
    <x v="3"/>
    <n v="69"/>
    <n v="17"/>
    <n v="342.81"/>
    <n v="6"/>
    <n v="3728.2"/>
    <s v="Evan"/>
    <s v="Jones"/>
    <x v="107"/>
    <s v="Male"/>
    <n v="0.24637681159420291"/>
    <n v="0.35294117647058826"/>
    <n v="621.36666666666667"/>
    <n v="54.031884057971013"/>
    <x v="0"/>
  </r>
  <r>
    <x v="65"/>
    <x v="3"/>
    <n v="64"/>
    <n v="13"/>
    <n v="317.58"/>
    <n v="8"/>
    <n v="1088.22"/>
    <s v="Chris"/>
    <s v="Miller"/>
    <x v="108"/>
    <s v="Male"/>
    <n v="0.203125"/>
    <n v="0.61538461538461542"/>
    <n v="136.0275"/>
    <n v="17.0034375"/>
    <x v="0"/>
  </r>
  <r>
    <x v="65"/>
    <x v="3"/>
    <n v="16"/>
    <n v="7"/>
    <n v="181.58"/>
    <n v="6"/>
    <n v="868.4"/>
    <s v="James"/>
    <s v="Jones"/>
    <x v="15"/>
    <s v="Female"/>
    <n v="0.4375"/>
    <n v="0.8571428571428571"/>
    <n v="144.73333333333332"/>
    <n v="54.274999999999999"/>
    <x v="0"/>
  </r>
  <r>
    <x v="65"/>
    <x v="3"/>
    <n v="37"/>
    <n v="7"/>
    <n v="470.85"/>
    <n v="7"/>
    <n v="3483.6"/>
    <s v="Richard"/>
    <s v="Davis"/>
    <x v="109"/>
    <s v="Male"/>
    <n v="0.1891891891891892"/>
    <n v="1"/>
    <n v="497.65714285714284"/>
    <n v="94.151351351351352"/>
    <x v="0"/>
  </r>
  <r>
    <x v="65"/>
    <x v="3"/>
    <n v="81"/>
    <n v="16"/>
    <n v="584.29999999999995"/>
    <n v="3"/>
    <n v="377.45"/>
    <s v="Paul"/>
    <s v="Rodriguez"/>
    <x v="110"/>
    <s v="Female"/>
    <n v="0.19753086419753085"/>
    <n v="0.1875"/>
    <n v="125.81666666666666"/>
    <n v="4.6598765432098768"/>
    <x v="1"/>
  </r>
  <r>
    <x v="65"/>
    <x v="3"/>
    <n v="44"/>
    <n v="6"/>
    <n v="246.21"/>
    <n v="5"/>
    <n v="4155.8"/>
    <s v="Charlie"/>
    <s v="Williams"/>
    <x v="90"/>
    <s v="Female"/>
    <n v="0.13636363636363635"/>
    <n v="0.83333333333333337"/>
    <n v="831.16000000000008"/>
    <n v="94.45"/>
    <x v="0"/>
  </r>
  <r>
    <x v="65"/>
    <x v="3"/>
    <n v="103"/>
    <n v="6"/>
    <n v="165.74"/>
    <n v="6"/>
    <n v="1169.3800000000001"/>
    <s v="Alex"/>
    <s v="Miller"/>
    <x v="81"/>
    <s v="Male"/>
    <n v="5.8252427184466021E-2"/>
    <n v="1"/>
    <n v="194.89666666666668"/>
    <n v="11.353203883495146"/>
    <x v="0"/>
  </r>
  <r>
    <x v="65"/>
    <x v="3"/>
    <n v="63"/>
    <n v="11"/>
    <n v="554.51"/>
    <n v="1"/>
    <n v="1138.51"/>
    <s v="Vicky"/>
    <s v="Martinez"/>
    <x v="111"/>
    <s v="Female"/>
    <n v="0.17460317460317459"/>
    <n v="9.0909090909090912E-2"/>
    <n v="1138.51"/>
    <n v="18.0715873015873"/>
    <x v="1"/>
  </r>
  <r>
    <x v="65"/>
    <x v="3"/>
    <n v="26"/>
    <n v="17"/>
    <n v="526.34"/>
    <n v="6"/>
    <n v="3360.11"/>
    <s v="Darren"/>
    <s v="Brown"/>
    <x v="112"/>
    <s v="Female"/>
    <n v="0.65384615384615385"/>
    <n v="0.35294117647058826"/>
    <n v="560.01833333333332"/>
    <n v="129.23500000000001"/>
    <x v="0"/>
  </r>
  <r>
    <x v="65"/>
    <x v="3"/>
    <n v="104"/>
    <n v="22"/>
    <n v="190.87"/>
    <n v="4"/>
    <n v="433.41"/>
    <s v="Will"/>
    <s v="Smith"/>
    <x v="113"/>
    <s v="Male"/>
    <n v="0.21153846153846154"/>
    <n v="0.18181818181818182"/>
    <n v="108.35250000000001"/>
    <n v="4.1674038461538467"/>
    <x v="1"/>
  </r>
  <r>
    <x v="65"/>
    <x v="3"/>
    <n v="26"/>
    <n v="6"/>
    <n v="231.59"/>
    <n v="2"/>
    <n v="3988.15"/>
    <s v="Ian"/>
    <s v="Martinez"/>
    <x v="114"/>
    <s v="Female"/>
    <n v="0.23076923076923078"/>
    <n v="0.33333333333333331"/>
    <n v="1994.075"/>
    <n v="153.39038461538462"/>
    <x v="0"/>
  </r>
  <r>
    <x v="65"/>
    <x v="3"/>
    <n v="22"/>
    <n v="13"/>
    <n v="302.49"/>
    <n v="2"/>
    <n v="1591.45"/>
    <s v="Grace"/>
    <s v="Davis"/>
    <x v="115"/>
    <s v="Male"/>
    <n v="0.59090909090909094"/>
    <n v="0.15384615384615385"/>
    <n v="795.72500000000002"/>
    <n v="72.338636363636368"/>
    <x v="1"/>
  </r>
  <r>
    <x v="65"/>
    <x v="3"/>
    <n v="77"/>
    <n v="8"/>
    <n v="173.88"/>
    <n v="6"/>
    <n v="462.44"/>
    <s v="Josh"/>
    <s v="Garcia"/>
    <x v="87"/>
    <s v="Female"/>
    <n v="0.1038961038961039"/>
    <n v="0.75"/>
    <n v="77.073333333333338"/>
    <n v="6.0057142857142853"/>
    <x v="0"/>
  </r>
  <r>
    <x v="65"/>
    <x v="3"/>
    <n v="90"/>
    <n v="17"/>
    <n v="366.84"/>
    <n v="0"/>
    <n v="3153.56"/>
    <s v="Craig"/>
    <s v="Rodriguez"/>
    <x v="116"/>
    <s v="Female"/>
    <n v="0.18888888888888888"/>
    <n v="0"/>
    <n v="0"/>
    <n v="35.039555555555552"/>
    <x v="1"/>
  </r>
  <r>
    <x v="65"/>
    <x v="3"/>
    <n v="33"/>
    <n v="9"/>
    <n v="578.41999999999996"/>
    <n v="4"/>
    <n v="229.72"/>
    <s v="David"/>
    <s v="Johnson"/>
    <x v="117"/>
    <s v="Male"/>
    <n v="0.27272727272727271"/>
    <n v="0.44444444444444442"/>
    <n v="57.43"/>
    <n v="6.961212121212121"/>
    <x v="0"/>
  </r>
  <r>
    <x v="65"/>
    <x v="3"/>
    <n v="42"/>
    <n v="14"/>
    <n v="321.29000000000002"/>
    <n v="7"/>
    <n v="4298.2700000000004"/>
    <s v="Mimi"/>
    <s v="Martinez"/>
    <x v="118"/>
    <s v="Male"/>
    <n v="0.33333333333333331"/>
    <n v="0.5"/>
    <n v="614.03857142857146"/>
    <n v="102.33976190476191"/>
    <x v="0"/>
  </r>
  <r>
    <x v="65"/>
    <x v="3"/>
    <n v="100"/>
    <n v="7"/>
    <n v="82.62"/>
    <n v="6"/>
    <n v="4085.91"/>
    <s v="Karol"/>
    <s v="Smith"/>
    <x v="119"/>
    <s v="Female"/>
    <n v="7.0000000000000007E-2"/>
    <n v="0.8571428571428571"/>
    <n v="680.98500000000001"/>
    <n v="40.859099999999998"/>
    <x v="0"/>
  </r>
  <r>
    <x v="65"/>
    <x v="3"/>
    <n v="69"/>
    <n v="9"/>
    <n v="221.01"/>
    <n v="3"/>
    <n v="643.44000000000005"/>
    <s v="Melissa"/>
    <s v="Miller"/>
    <x v="120"/>
    <s v="Female"/>
    <n v="0.13043478260869565"/>
    <n v="0.33333333333333331"/>
    <n v="214.48000000000002"/>
    <n v="9.3252173913043492"/>
    <x v="0"/>
  </r>
  <r>
    <x v="66"/>
    <x v="3"/>
    <n v="99"/>
    <n v="36"/>
    <n v="424.60515105803182"/>
    <n v="32"/>
    <n v="3156.3272413166351"/>
    <s v="Mimi"/>
    <s v="Martinez"/>
    <x v="118"/>
    <s v="Male"/>
    <n v="0.36363636363636365"/>
    <n v="0.88888888888888884"/>
    <n v="98.635226291144846"/>
    <n v="31.882093346632679"/>
    <x v="0"/>
  </r>
  <r>
    <x v="67"/>
    <x v="3"/>
    <n v="89"/>
    <n v="36"/>
    <n v="473.02243963271172"/>
    <n v="5"/>
    <n v="1706.2863837029431"/>
    <s v="Evan"/>
    <s v="Martinez"/>
    <x v="66"/>
    <s v="Male"/>
    <n v="0.4044943820224719"/>
    <n v="0.1388888888888889"/>
    <n v="341.25727674058862"/>
    <n v="19.171757120257787"/>
    <x v="1"/>
  </r>
  <r>
    <x v="68"/>
    <x v="3"/>
    <n v="53"/>
    <n v="30"/>
    <n v="391.68438254857978"/>
    <n v="9"/>
    <n v="3308.6700853211032"/>
    <s v="Anna"/>
    <s v="Garcia"/>
    <x v="69"/>
    <s v="Female"/>
    <n v="0.56603773584905659"/>
    <n v="0.3"/>
    <n v="367.63000948012257"/>
    <n v="62.427737458888743"/>
    <x v="0"/>
  </r>
  <r>
    <x v="69"/>
    <x v="3"/>
    <n v="51"/>
    <n v="39"/>
    <n v="581.08627423727103"/>
    <n v="4"/>
    <n v="2342.352434860582"/>
    <s v="Alice"/>
    <s v="Garcia"/>
    <x v="121"/>
    <s v="Female"/>
    <n v="0.76470588235294112"/>
    <n v="0.10256410256410256"/>
    <n v="585.58810871514549"/>
    <n v="45.928479114913372"/>
    <x v="1"/>
  </r>
  <r>
    <x v="70"/>
    <x v="3"/>
    <n v="55"/>
    <n v="37"/>
    <n v="287.435289761852"/>
    <n v="22"/>
    <n v="2984.2123138339111"/>
    <s v="Evan"/>
    <s v="Johnson"/>
    <x v="34"/>
    <s v="Female"/>
    <n v="0.67272727272727273"/>
    <n v="0.59459459459459463"/>
    <n v="135.64601426517777"/>
    <n v="54.258405706071109"/>
    <x v="0"/>
  </r>
  <r>
    <x v="71"/>
    <x v="3"/>
    <n v="91"/>
    <n v="73"/>
    <n v="242.85604314093041"/>
    <n v="9"/>
    <n v="2462.569381108925"/>
    <s v="Anna"/>
    <s v="Davis"/>
    <x v="122"/>
    <s v="Female"/>
    <n v="0.80219780219780223"/>
    <n v="0.12328767123287671"/>
    <n v="273.61882012321388"/>
    <n v="27.061201990207966"/>
    <x v="1"/>
  </r>
  <r>
    <x v="72"/>
    <x v="3"/>
    <n v="53"/>
    <n v="78"/>
    <n v="534.29956409473016"/>
    <n v="1"/>
    <n v="1825.09591793863"/>
    <s v="Evan"/>
    <s v="Davis"/>
    <x v="44"/>
    <s v="Male"/>
    <n v="1.4716981132075471"/>
    <n v="1.282051282051282E-2"/>
    <n v="1825.09591793863"/>
    <n v="34.435772036577923"/>
    <x v="1"/>
  </r>
  <r>
    <x v="73"/>
    <x v="3"/>
    <n v="78"/>
    <n v="70"/>
    <n v="211.79791925972631"/>
    <n v="12"/>
    <n v="4768.0398813297052"/>
    <s v="Evan"/>
    <s v="Williams"/>
    <x v="123"/>
    <s v="Male"/>
    <n v="0.89743589743589747"/>
    <n v="0.17142857142857143"/>
    <n v="397.33665677747541"/>
    <n v="61.128716427303914"/>
    <x v="1"/>
  </r>
  <r>
    <x v="74"/>
    <x v="3"/>
    <n v="67"/>
    <n v="57"/>
    <n v="581.6112697203057"/>
    <n v="39"/>
    <n v="3936.226073718924"/>
    <s v="John"/>
    <s v="Davis"/>
    <x v="74"/>
    <s v="Male"/>
    <n v="0.85074626865671643"/>
    <n v="0.68421052631578949"/>
    <n v="100.92887368510061"/>
    <n v="58.749642891327227"/>
    <x v="0"/>
  </r>
  <r>
    <x v="75"/>
    <x v="3"/>
    <n v="75"/>
    <n v="28"/>
    <n v="106.0772373449082"/>
    <n v="1"/>
    <n v="1130.5092909490361"/>
    <s v="Jane"/>
    <s v="Garcia"/>
    <x v="124"/>
    <s v="Male"/>
    <n v="0.37333333333333335"/>
    <n v="3.5714285714285712E-2"/>
    <n v="1130.5092909490361"/>
    <n v="15.073457212653814"/>
    <x v="1"/>
  </r>
  <r>
    <x v="76"/>
    <x v="3"/>
    <n v="93"/>
    <n v="13"/>
    <n v="584.93941335381953"/>
    <n v="19"/>
    <n v="4408.1058915406074"/>
    <s v="Alice"/>
    <s v="Smith"/>
    <x v="24"/>
    <s v="Male"/>
    <n v="0.13978494623655913"/>
    <n v="1.4615384615384615"/>
    <n v="232.00557323897934"/>
    <n v="47.398988081081804"/>
    <x v="0"/>
  </r>
  <r>
    <x v="77"/>
    <x v="3"/>
    <n v="83"/>
    <n v="44"/>
    <n v="121.5799559752881"/>
    <n v="0"/>
    <n v="2693.4403921228109"/>
    <s v="Evan"/>
    <s v="Davis"/>
    <x v="44"/>
    <s v="Female"/>
    <n v="0.53012048192771088"/>
    <n v="0"/>
    <n v="0"/>
    <n v="32.451089061720616"/>
    <x v="1"/>
  </r>
  <r>
    <x v="78"/>
    <x v="3"/>
    <n v="59"/>
    <n v="73"/>
    <n v="545.57155684903546"/>
    <n v="36"/>
    <n v="4525.4850210234108"/>
    <s v="Alice"/>
    <s v="Garcia"/>
    <x v="121"/>
    <s v="Male"/>
    <n v="1.2372881355932204"/>
    <n v="0.49315068493150682"/>
    <n v="125.7079172506503"/>
    <n v="76.703135949549335"/>
    <x v="0"/>
  </r>
  <r>
    <x v="79"/>
    <x v="3"/>
    <n v="85"/>
    <n v="58"/>
    <n v="363.85055454314988"/>
    <n v="8"/>
    <n v="4099.348651762919"/>
    <s v="Mimi"/>
    <s v="Johnson"/>
    <x v="125"/>
    <s v="Female"/>
    <n v="0.68235294117647061"/>
    <n v="0.13793103448275862"/>
    <n v="512.41858147036487"/>
    <n v="48.227631197210812"/>
    <x v="1"/>
  </r>
  <r>
    <x v="80"/>
    <x v="3"/>
    <n v="63"/>
    <n v="26"/>
    <n v="596.48239805965022"/>
    <n v="16"/>
    <n v="2413.460770111551"/>
    <s v="Evan"/>
    <s v="Martinez"/>
    <x v="66"/>
    <s v="Female"/>
    <n v="0.41269841269841268"/>
    <n v="0.61538461538461542"/>
    <n v="150.84129813197194"/>
    <n v="38.308901112881763"/>
    <x v="0"/>
  </r>
  <r>
    <x v="81"/>
    <x v="3"/>
    <n v="80"/>
    <n v="53"/>
    <n v="136.89828236769941"/>
    <n v="8"/>
    <n v="601.11188744052833"/>
    <s v="Chris"/>
    <s v="Davis"/>
    <x v="37"/>
    <s v="Female"/>
    <n v="0.66249999999999998"/>
    <n v="0.15094339622641509"/>
    <n v="75.138985930066042"/>
    <n v="7.513898593006604"/>
    <x v="1"/>
  </r>
  <r>
    <x v="82"/>
    <x v="3"/>
    <n v="97"/>
    <n v="39"/>
    <n v="376.9271422006604"/>
    <n v="10"/>
    <n v="1709.048117232257"/>
    <s v="Jane"/>
    <s v="Johnson"/>
    <x v="126"/>
    <s v="Female"/>
    <n v="0.40206185567010311"/>
    <n v="0.25641025641025639"/>
    <n v="170.90481172322569"/>
    <n v="17.619052754971722"/>
    <x v="0"/>
  </r>
  <r>
    <x v="83"/>
    <x v="3"/>
    <n v="64"/>
    <n v="55"/>
    <n v="584.65126780954949"/>
    <n v="14"/>
    <n v="2937.3539659739008"/>
    <s v="Chris"/>
    <s v="Martinez"/>
    <x v="71"/>
    <s v="Male"/>
    <n v="0.859375"/>
    <n v="0.25454545454545452"/>
    <n v="209.81099756956434"/>
    <n v="45.8961557183422"/>
    <x v="0"/>
  </r>
  <r>
    <x v="84"/>
    <x v="3"/>
    <n v="57"/>
    <n v="15"/>
    <n v="361.54892208507442"/>
    <n v="23"/>
    <n v="3350.651989217663"/>
    <s v="Alice"/>
    <s v="Rodriguez"/>
    <x v="97"/>
    <s v="Female"/>
    <n v="0.26315789473684209"/>
    <n v="1.5333333333333334"/>
    <n v="145.68052127033317"/>
    <n v="58.783368231888822"/>
    <x v="0"/>
  </r>
  <r>
    <x v="85"/>
    <x v="3"/>
    <n v="63"/>
    <n v="46"/>
    <n v="414.69931906763128"/>
    <n v="37"/>
    <n v="1660.49458444941"/>
    <s v="Alice"/>
    <s v="Rodriguez"/>
    <x v="97"/>
    <s v="Female"/>
    <n v="0.73015873015873012"/>
    <n v="0.80434782608695654"/>
    <n v="44.878232012146213"/>
    <n v="26.357056896022382"/>
    <x v="0"/>
  </r>
  <r>
    <x v="86"/>
    <x v="3"/>
    <n v="72"/>
    <n v="33"/>
    <n v="447.87434449230858"/>
    <n v="34"/>
    <n v="1127.102333327708"/>
    <s v="Jane"/>
    <s v="Martinez"/>
    <x v="32"/>
    <s v="Female"/>
    <n v="0.45833333333333331"/>
    <n v="1.0303030303030303"/>
    <n v="33.150068627285528"/>
    <n v="15.654199073995946"/>
    <x v="0"/>
  </r>
  <r>
    <x v="87"/>
    <x v="4"/>
    <n v="97"/>
    <n v="5"/>
    <n v="185.62"/>
    <n v="4"/>
    <n v="1282.81"/>
    <s v="Alex"/>
    <s v="Smith"/>
    <x v="127"/>
    <s v="Female"/>
    <n v="5.1546391752577317E-2"/>
    <n v="0.8"/>
    <n v="320.70249999999999"/>
    <n v="13.224845360824741"/>
    <x v="0"/>
  </r>
  <r>
    <x v="87"/>
    <x v="4"/>
    <n v="111"/>
    <n v="13"/>
    <n v="358.31"/>
    <n v="0"/>
    <n v="2811.77"/>
    <s v="Craig"/>
    <s v="Johnson"/>
    <x v="128"/>
    <s v="Male"/>
    <n v="0.11711711711711711"/>
    <n v="0"/>
    <n v="0"/>
    <n v="25.331261261261261"/>
    <x v="1"/>
  </r>
  <r>
    <x v="87"/>
    <x v="4"/>
    <n v="73"/>
    <n v="8"/>
    <n v="175.52"/>
    <n v="7"/>
    <n v="455.32"/>
    <s v="Josh"/>
    <s v="Brown"/>
    <x v="129"/>
    <s v="Male"/>
    <n v="0.1095890410958904"/>
    <n v="0.875"/>
    <n v="65.045714285714283"/>
    <n v="6.2372602739726029"/>
    <x v="0"/>
  </r>
  <r>
    <x v="87"/>
    <x v="4"/>
    <n v="105"/>
    <n v="6"/>
    <n v="567.03"/>
    <n v="1"/>
    <n v="3496.65"/>
    <s v="Emma"/>
    <s v="Jones"/>
    <x v="130"/>
    <s v="Male"/>
    <n v="5.7142857142857141E-2"/>
    <n v="0.16666666666666666"/>
    <n v="3496.65"/>
    <n v="33.301428571428573"/>
    <x v="1"/>
  </r>
  <r>
    <x v="87"/>
    <x v="4"/>
    <n v="19"/>
    <n v="13"/>
    <n v="316.23"/>
    <n v="1"/>
    <n v="1598.49"/>
    <s v="Grace"/>
    <s v="Garcia"/>
    <x v="131"/>
    <s v="Male"/>
    <n v="0.68421052631578949"/>
    <n v="7.6923076923076927E-2"/>
    <n v="1598.49"/>
    <n v="84.131052631578953"/>
    <x v="1"/>
  </r>
  <r>
    <x v="87"/>
    <x v="4"/>
    <n v="91"/>
    <n v="15"/>
    <n v="173.03"/>
    <n v="4"/>
    <n v="386.08"/>
    <s v="Will"/>
    <s v="Brown"/>
    <x v="132"/>
    <s v="Female"/>
    <n v="0.16483516483516483"/>
    <n v="0.26666666666666666"/>
    <n v="96.52"/>
    <n v="4.2426373626373621"/>
    <x v="0"/>
  </r>
  <r>
    <x v="87"/>
    <x v="4"/>
    <n v="21"/>
    <n v="14"/>
    <n v="472.79"/>
    <n v="8"/>
    <n v="3830.32"/>
    <s v="Darren"/>
    <s v="Smith"/>
    <x v="8"/>
    <s v="Female"/>
    <n v="0.66666666666666663"/>
    <n v="0.5714285714285714"/>
    <n v="478.79"/>
    <n v="182.3961904761905"/>
    <x v="0"/>
  </r>
  <r>
    <x v="87"/>
    <x v="4"/>
    <n v="91"/>
    <n v="7"/>
    <n v="89.39"/>
    <n v="6"/>
    <n v="3971.59"/>
    <s v="Karol"/>
    <s v="Brown"/>
    <x v="133"/>
    <s v="Male"/>
    <n v="7.6923076923076927E-2"/>
    <n v="0.8571428571428571"/>
    <n v="661.93166666666673"/>
    <n v="43.643846153846155"/>
    <x v="0"/>
  </r>
  <r>
    <x v="87"/>
    <x v="4"/>
    <n v="33"/>
    <n v="17"/>
    <n v="371.65"/>
    <n v="9"/>
    <n v="4068.75"/>
    <s v="Mimi"/>
    <s v="Davis"/>
    <x v="39"/>
    <s v="Male"/>
    <n v="0.51515151515151514"/>
    <n v="0.52941176470588236"/>
    <n v="452.08333333333331"/>
    <n v="123.29545454545455"/>
    <x v="0"/>
  </r>
  <r>
    <x v="87"/>
    <x v="4"/>
    <n v="38"/>
    <n v="12"/>
    <n v="556.33000000000004"/>
    <n v="4"/>
    <n v="241.08"/>
    <s v="David"/>
    <s v="Davis"/>
    <x v="134"/>
    <s v="Male"/>
    <n v="0.31578947368421051"/>
    <n v="0.33333333333333331"/>
    <n v="60.27"/>
    <n v="6.3442105263157895"/>
    <x v="0"/>
  </r>
  <r>
    <x v="87"/>
    <x v="4"/>
    <n v="50"/>
    <n v="7"/>
    <n v="196.2"/>
    <n v="2"/>
    <n v="592.71"/>
    <s v="Melissa"/>
    <s v="Smith"/>
    <x v="135"/>
    <s v="Male"/>
    <n v="0.14000000000000001"/>
    <n v="0.2857142857142857"/>
    <n v="296.35500000000002"/>
    <n v="11.854200000000001"/>
    <x v="0"/>
  </r>
  <r>
    <x v="87"/>
    <x v="4"/>
    <n v="74"/>
    <n v="20"/>
    <n v="623.33000000000004"/>
    <n v="2"/>
    <n v="359.97"/>
    <s v="Paul"/>
    <s v="Rodriguez"/>
    <x v="110"/>
    <s v="Male"/>
    <n v="0.27027027027027029"/>
    <n v="0.1"/>
    <n v="179.98500000000001"/>
    <n v="4.8644594594594599"/>
    <x v="1"/>
  </r>
  <r>
    <x v="87"/>
    <x v="4"/>
    <n v="26"/>
    <n v="7"/>
    <n v="200.45"/>
    <n v="1"/>
    <n v="3797.35"/>
    <s v="Ian"/>
    <s v="Martinez"/>
    <x v="114"/>
    <s v="Male"/>
    <n v="0.26923076923076922"/>
    <n v="0.14285714285714285"/>
    <n v="3797.35"/>
    <n v="146.05192307692306"/>
    <x v="1"/>
  </r>
  <r>
    <x v="87"/>
    <x v="4"/>
    <n v="68"/>
    <n v="11"/>
    <n v="345.62"/>
    <n v="4"/>
    <n v="3558.13"/>
    <s v="Alice"/>
    <s v="Garcia"/>
    <x v="121"/>
    <s v="Male"/>
    <n v="0.16176470588235295"/>
    <n v="0.36363636363636365"/>
    <n v="889.53250000000003"/>
    <n v="52.325441176470591"/>
    <x v="0"/>
  </r>
  <r>
    <x v="87"/>
    <x v="4"/>
    <n v="45"/>
    <n v="17"/>
    <n v="416.96"/>
    <n v="3"/>
    <n v="3327.07"/>
    <s v="Diana"/>
    <s v="Johnson"/>
    <x v="23"/>
    <s v="Male"/>
    <n v="0.37777777777777777"/>
    <n v="0.17647058823529413"/>
    <n v="1109.0233333333333"/>
    <n v="73.934888888888892"/>
    <x v="1"/>
  </r>
  <r>
    <x v="87"/>
    <x v="4"/>
    <n v="17"/>
    <n v="8"/>
    <n v="72.05"/>
    <n v="3"/>
    <n v="1672.82"/>
    <s v="Jake"/>
    <s v="Williams"/>
    <x v="27"/>
    <s v="Male"/>
    <n v="0.47058823529411764"/>
    <n v="0.375"/>
    <n v="557.60666666666668"/>
    <n v="98.401176470588226"/>
    <x v="0"/>
  </r>
  <r>
    <x v="87"/>
    <x v="4"/>
    <n v="85"/>
    <n v="13"/>
    <n v="475.61"/>
    <n v="5"/>
    <n v="939.32"/>
    <s v="Liam"/>
    <s v="Brown"/>
    <x v="136"/>
    <s v="Male"/>
    <n v="0.15294117647058825"/>
    <n v="0.38461538461538464"/>
    <n v="187.864"/>
    <n v="11.050823529411765"/>
    <x v="0"/>
  </r>
  <r>
    <x v="87"/>
    <x v="4"/>
    <n v="49"/>
    <n v="7"/>
    <n v="469.53"/>
    <n v="3"/>
    <n v="3623.32"/>
    <s v="Bob"/>
    <s v="Jones"/>
    <x v="20"/>
    <s v="Male"/>
    <n v="0.14285714285714285"/>
    <n v="0.42857142857142855"/>
    <n v="1207.7733333333333"/>
    <n v="73.945306122448983"/>
    <x v="0"/>
  </r>
  <r>
    <x v="87"/>
    <x v="4"/>
    <n v="69"/>
    <n v="16"/>
    <n v="299.22000000000003"/>
    <n v="6"/>
    <n v="3716.14"/>
    <s v="Evan"/>
    <s v="Garcia"/>
    <x v="0"/>
    <s v="Male"/>
    <n v="0.2318840579710145"/>
    <n v="0.375"/>
    <n v="619.35666666666668"/>
    <n v="53.857101449275362"/>
    <x v="0"/>
  </r>
  <r>
    <x v="87"/>
    <x v="4"/>
    <n v="63"/>
    <n v="9"/>
    <n v="258.11"/>
    <n v="7"/>
    <n v="4064.36"/>
    <s v="Charlie"/>
    <s v="Martinez"/>
    <x v="137"/>
    <s v="Male"/>
    <n v="0.14285714285714285"/>
    <n v="0.77777777777777779"/>
    <n v="580.62285714285713"/>
    <n v="64.513650793650797"/>
    <x v="0"/>
  </r>
  <r>
    <x v="87"/>
    <x v="4"/>
    <n v="66"/>
    <n v="15"/>
    <n v="333.1"/>
    <n v="2"/>
    <n v="2631.58"/>
    <s v="Rick"/>
    <s v="Davis"/>
    <x v="19"/>
    <s v="Male"/>
    <n v="0.22727272727272727"/>
    <n v="0.13333333333333333"/>
    <n v="1315.79"/>
    <n v="39.872424242424245"/>
    <x v="1"/>
  </r>
  <r>
    <x v="87"/>
    <x v="4"/>
    <n v="35"/>
    <n v="6"/>
    <n v="553.11"/>
    <n v="4"/>
    <n v="3867.67"/>
    <s v="Richard"/>
    <s v="Jones"/>
    <x v="14"/>
    <s v="Female"/>
    <n v="0.17142857142857143"/>
    <n v="0.66666666666666663"/>
    <n v="966.91750000000002"/>
    <n v="110.50485714285715"/>
    <x v="0"/>
  </r>
  <r>
    <x v="87"/>
    <x v="4"/>
    <n v="67"/>
    <n v="15"/>
    <n v="499.68"/>
    <n v="0"/>
    <n v="1287.1300000000001"/>
    <s v="Vicky"/>
    <s v="Davis"/>
    <x v="63"/>
    <s v="Male"/>
    <n v="0.22388059701492538"/>
    <n v="0"/>
    <n v="0"/>
    <n v="19.210895522388061"/>
    <x v="1"/>
  </r>
  <r>
    <x v="87"/>
    <x v="4"/>
    <n v="75"/>
    <n v="19"/>
    <n v="343.28"/>
    <n v="9"/>
    <n v="899.46"/>
    <s v="Chris"/>
    <s v="Johnson"/>
    <x v="30"/>
    <s v="Female"/>
    <n v="0.25333333333333335"/>
    <n v="0.47368421052631576"/>
    <n v="99.94"/>
    <n v="11.992800000000001"/>
    <x v="0"/>
  </r>
  <r>
    <x v="87"/>
    <x v="4"/>
    <n v="31"/>
    <n v="20"/>
    <n v="400.8"/>
    <n v="8"/>
    <n v="1294.3599999999999"/>
    <s v="Molly"/>
    <s v="Williams"/>
    <x v="138"/>
    <s v="Male"/>
    <n v="0.64516129032258063"/>
    <n v="0.4"/>
    <n v="161.79499999999999"/>
    <n v="41.753548387096771"/>
    <x v="0"/>
  </r>
  <r>
    <x v="87"/>
    <x v="4"/>
    <n v="18"/>
    <n v="7"/>
    <n v="204.63"/>
    <n v="7"/>
    <n v="789.77"/>
    <s v="James"/>
    <s v="Smith"/>
    <x v="139"/>
    <s v="Male"/>
    <n v="0.3888888888888889"/>
    <n v="1"/>
    <n v="112.82428571428571"/>
    <n v="43.876111111111108"/>
    <x v="0"/>
  </r>
  <r>
    <x v="88"/>
    <x v="4"/>
    <n v="89"/>
    <n v="55"/>
    <n v="327.27053238388658"/>
    <n v="29"/>
    <n v="4257.1860655968467"/>
    <s v="Alice"/>
    <s v="Davis"/>
    <x v="140"/>
    <s v="Male"/>
    <n v="0.6179775280898876"/>
    <n v="0.52727272727272723"/>
    <n v="146.79951950333955"/>
    <n v="47.833551298840973"/>
    <x v="0"/>
  </r>
  <r>
    <x v="89"/>
    <x v="4"/>
    <n v="70"/>
    <n v="62"/>
    <n v="413.77904004203168"/>
    <n v="30"/>
    <n v="4929.8098131659845"/>
    <s v="Chris"/>
    <s v="Williams"/>
    <x v="73"/>
    <s v="Male"/>
    <n v="0.88571428571428568"/>
    <n v="0.4838709677419355"/>
    <n v="164.32699377219947"/>
    <n v="70.425854473799774"/>
    <x v="0"/>
  </r>
  <r>
    <x v="90"/>
    <x v="4"/>
    <n v="65"/>
    <n v="69"/>
    <n v="392.15715596155007"/>
    <n v="4"/>
    <n v="2865.605820362086"/>
    <s v="Evan"/>
    <s v="Garcia"/>
    <x v="0"/>
    <s v="Male"/>
    <n v="1.0615384615384615"/>
    <n v="5.7971014492753624E-2"/>
    <n v="716.40145509052149"/>
    <n v="44.086243390185935"/>
    <x v="1"/>
  </r>
  <r>
    <x v="91"/>
    <x v="4"/>
    <n v="94"/>
    <n v="72"/>
    <n v="550.5790052454945"/>
    <n v="13"/>
    <n v="1272.556786317366"/>
    <s v="Evan"/>
    <s v="Smith"/>
    <x v="141"/>
    <s v="Female"/>
    <n v="0.76595744680851063"/>
    <n v="0.18055555555555555"/>
    <n v="97.888983562874301"/>
    <n v="13.537838152312405"/>
    <x v="1"/>
  </r>
  <r>
    <x v="92"/>
    <x v="4"/>
    <n v="67"/>
    <n v="41"/>
    <n v="122.7231901707289"/>
    <n v="10"/>
    <n v="1725.3829693371599"/>
    <s v="John"/>
    <s v="Smith"/>
    <x v="29"/>
    <s v="Female"/>
    <n v="0.61194029850746268"/>
    <n v="0.24390243902439024"/>
    <n v="172.538296933716"/>
    <n v="25.751984616972535"/>
    <x v="0"/>
  </r>
  <r>
    <x v="93"/>
    <x v="4"/>
    <n v="96"/>
    <n v="42"/>
    <n v="240.48159479611519"/>
    <n v="8"/>
    <n v="582.7580444636003"/>
    <s v="Mimi"/>
    <s v="Brown"/>
    <x v="100"/>
    <s v="Male"/>
    <n v="0.4375"/>
    <n v="0.19047619047619047"/>
    <n v="72.844755557950037"/>
    <n v="6.0703962964958365"/>
    <x v="1"/>
  </r>
  <r>
    <x v="94"/>
    <x v="4"/>
    <n v="73"/>
    <n v="76"/>
    <n v="575.20574203827937"/>
    <n v="33"/>
    <n v="4614.3446295222457"/>
    <s v="Alice"/>
    <s v="Martinez"/>
    <x v="98"/>
    <s v="Female"/>
    <n v="1.0410958904109588"/>
    <n v="0.43421052631578949"/>
    <n v="139.82862513703776"/>
    <n v="63.210200404414323"/>
    <x v="0"/>
  </r>
  <r>
    <x v="95"/>
    <x v="4"/>
    <n v="75"/>
    <n v="27"/>
    <n v="545.13189194545816"/>
    <n v="11"/>
    <n v="1029.8798730056351"/>
    <s v="Chris"/>
    <s v="Smith"/>
    <x v="16"/>
    <s v="Male"/>
    <n v="0.36"/>
    <n v="0.40740740740740738"/>
    <n v="93.625443000512277"/>
    <n v="13.731731640075134"/>
    <x v="0"/>
  </r>
  <r>
    <x v="96"/>
    <x v="4"/>
    <n v="74"/>
    <n v="34"/>
    <n v="327.82837639285651"/>
    <n v="34"/>
    <n v="3094.3241398141408"/>
    <s v="Alice"/>
    <s v="Davis"/>
    <x v="140"/>
    <s v="Male"/>
    <n v="0.45945945945945948"/>
    <n v="1"/>
    <n v="91.009533523945322"/>
    <n v="41.81519107856947"/>
    <x v="0"/>
  </r>
  <r>
    <x v="97"/>
    <x v="4"/>
    <n v="94"/>
    <n v="63"/>
    <n v="410.06629890076829"/>
    <n v="34"/>
    <n v="1733.248493092427"/>
    <s v="Alice"/>
    <s v="Williams"/>
    <x v="142"/>
    <s v="Female"/>
    <n v="0.67021276595744683"/>
    <n v="0.53968253968253965"/>
    <n v="50.977896855659615"/>
    <n v="18.438813756302416"/>
    <x v="0"/>
  </r>
  <r>
    <x v="98"/>
    <x v="4"/>
    <n v="90"/>
    <n v="67"/>
    <n v="238.69059149056631"/>
    <n v="0"/>
    <n v="2993.8010113210698"/>
    <s v="Anna"/>
    <s v="Martinez"/>
    <x v="143"/>
    <s v="Female"/>
    <n v="0.74444444444444446"/>
    <n v="0"/>
    <n v="0"/>
    <n v="33.264455681345218"/>
    <x v="1"/>
  </r>
  <r>
    <x v="99"/>
    <x v="4"/>
    <n v="78"/>
    <n v="76"/>
    <n v="194.06057986188071"/>
    <n v="39"/>
    <n v="3431.3917475833891"/>
    <s v="John"/>
    <s v="Williams"/>
    <x v="28"/>
    <s v="Female"/>
    <n v="0.97435897435897434"/>
    <n v="0.51315789473684215"/>
    <n v="87.984403784189468"/>
    <n v="43.992201892094734"/>
    <x v="0"/>
  </r>
  <r>
    <x v="100"/>
    <x v="4"/>
    <n v="64"/>
    <n v="55"/>
    <n v="331.84920246999098"/>
    <n v="21"/>
    <n v="4233.8381166824074"/>
    <s v="Chris"/>
    <s v="Davis"/>
    <x v="37"/>
    <s v="Female"/>
    <n v="0.859375"/>
    <n v="0.38181818181818183"/>
    <n v="201.61133888963846"/>
    <n v="66.153720573162616"/>
    <x v="0"/>
  </r>
  <r>
    <x v="101"/>
    <x v="4"/>
    <n v="94"/>
    <n v="33"/>
    <n v="276.67611401302639"/>
    <n v="28"/>
    <n v="1428.895722922714"/>
    <s v="Chris"/>
    <s v="Smith"/>
    <x v="16"/>
    <s v="Male"/>
    <n v="0.35106382978723405"/>
    <n v="0.84848484848484851"/>
    <n v="51.031990104382643"/>
    <n v="15.201018328965041"/>
    <x v="0"/>
  </r>
  <r>
    <x v="102"/>
    <x v="4"/>
    <n v="50"/>
    <n v="41"/>
    <n v="391.82805592543599"/>
    <n v="7"/>
    <n v="549.48122896316215"/>
    <s v="Alice"/>
    <s v="Smith"/>
    <x v="24"/>
    <s v="Male"/>
    <n v="0.82"/>
    <n v="0.17073170731707318"/>
    <n v="78.497318423308883"/>
    <n v="10.989624579263243"/>
    <x v="1"/>
  </r>
  <r>
    <x v="103"/>
    <x v="4"/>
    <n v="74"/>
    <n v="56"/>
    <n v="138.86731848249241"/>
    <n v="10"/>
    <n v="1115.985335309633"/>
    <s v="John"/>
    <s v="Brown"/>
    <x v="40"/>
    <s v="Male"/>
    <n v="0.7567567567567568"/>
    <n v="0.17857142857142858"/>
    <n v="111.59853353096329"/>
    <n v="15.080882909589635"/>
    <x v="1"/>
  </r>
  <r>
    <x v="104"/>
    <x v="4"/>
    <n v="56"/>
    <n v="32"/>
    <n v="587.19740383308317"/>
    <n v="36"/>
    <n v="4550.0838883164724"/>
    <s v="Evan"/>
    <s v="Smith"/>
    <x v="141"/>
    <s v="Male"/>
    <n v="0.5714285714285714"/>
    <n v="1.125"/>
    <n v="126.39121911990202"/>
    <n v="81.2514980056513"/>
    <x v="0"/>
  </r>
  <r>
    <x v="105"/>
    <x v="4"/>
    <n v="58"/>
    <n v="75"/>
    <n v="593.10537223980145"/>
    <n v="13"/>
    <n v="4432.5053490313176"/>
    <s v="Chris"/>
    <s v="Martinez"/>
    <x v="71"/>
    <s v="Male"/>
    <n v="1.2931034482758621"/>
    <n v="0.17333333333333334"/>
    <n v="340.96194992548595"/>
    <n v="76.42250601778133"/>
    <x v="1"/>
  </r>
  <r>
    <x v="106"/>
    <x v="4"/>
    <n v="73"/>
    <n v="36"/>
    <n v="449.08085700987249"/>
    <n v="29"/>
    <n v="3188.3589597663872"/>
    <s v="Evan"/>
    <s v="Davis"/>
    <x v="44"/>
    <s v="Female"/>
    <n v="0.49315068493150682"/>
    <n v="0.80555555555555558"/>
    <n v="109.94341240573749"/>
    <n v="43.676150133786123"/>
    <x v="0"/>
  </r>
  <r>
    <x v="107"/>
    <x v="4"/>
    <n v="50"/>
    <n v="11"/>
    <n v="368.04818317206019"/>
    <n v="34"/>
    <n v="3202.3258719514401"/>
    <s v="John"/>
    <s v="Rodriguez"/>
    <x v="33"/>
    <s v="Male"/>
    <n v="0.22"/>
    <n v="3.0909090909090908"/>
    <n v="94.186055057395293"/>
    <n v="64.046517439028804"/>
    <x v="0"/>
  </r>
  <r>
    <x v="108"/>
    <x v="4"/>
    <n v="93"/>
    <n v="26"/>
    <n v="254.76380814316391"/>
    <n v="20"/>
    <n v="3492.6650354581502"/>
    <s v="Evan"/>
    <s v="Davis"/>
    <x v="44"/>
    <s v="Male"/>
    <n v="0.27956989247311825"/>
    <n v="0.76923076923076927"/>
    <n v="174.6332517729075"/>
    <n v="37.555538015679033"/>
    <x v="0"/>
  </r>
  <r>
    <x v="109"/>
    <x v="4"/>
    <n v="57"/>
    <n v="42"/>
    <n v="506.89750985347428"/>
    <n v="36"/>
    <n v="1289.170753805523"/>
    <s v="Jane"/>
    <s v="Martinez"/>
    <x v="32"/>
    <s v="Male"/>
    <n v="0.73684210526315785"/>
    <n v="0.8571428571428571"/>
    <n v="35.810298716820085"/>
    <n v="22.617030768517946"/>
    <x v="0"/>
  </r>
  <r>
    <x v="110"/>
    <x v="5"/>
    <n v="85"/>
    <n v="17"/>
    <n v="324.56"/>
    <n v="3"/>
    <n v="2420.5300000000002"/>
    <s v="Rick"/>
    <s v="Williams"/>
    <x v="54"/>
    <s v="Male"/>
    <n v="0.2"/>
    <n v="0.17647058823529413"/>
    <n v="806.84333333333336"/>
    <n v="28.476823529411767"/>
    <x v="1"/>
  </r>
  <r>
    <x v="110"/>
    <x v="5"/>
    <n v="49"/>
    <n v="7"/>
    <n v="512.88"/>
    <n v="2"/>
    <n v="3545.66"/>
    <s v="Bob"/>
    <s v="Brown"/>
    <x v="144"/>
    <s v="Male"/>
    <n v="0.14285714285714285"/>
    <n v="0.2857142857142857"/>
    <n v="1772.83"/>
    <n v="72.360408163265305"/>
    <x v="0"/>
  </r>
  <r>
    <x v="110"/>
    <x v="5"/>
    <n v="59"/>
    <n v="16"/>
    <n v="359.47"/>
    <n v="7"/>
    <n v="3958.94"/>
    <s v="Evan"/>
    <s v="Davis"/>
    <x v="44"/>
    <s v="Male"/>
    <n v="0.2711864406779661"/>
    <n v="0.4375"/>
    <n v="565.56285714285718"/>
    <n v="67.100677966101699"/>
    <x v="0"/>
  </r>
  <r>
    <x v="110"/>
    <x v="5"/>
    <n v="18"/>
    <n v="7"/>
    <n v="85.32"/>
    <n v="3"/>
    <n v="1431.69"/>
    <s v="Jake"/>
    <s v="Martinez"/>
    <x v="96"/>
    <s v="Female"/>
    <n v="0.3888888888888889"/>
    <n v="0.42857142857142855"/>
    <n v="477.23"/>
    <n v="79.538333333333341"/>
    <x v="0"/>
  </r>
  <r>
    <x v="110"/>
    <x v="5"/>
    <n v="61"/>
    <n v="7"/>
    <n v="219.53"/>
    <n v="7"/>
    <n v="3860.12"/>
    <s v="Charlie"/>
    <s v="Garcia"/>
    <x v="145"/>
    <s v="Male"/>
    <n v="0.11475409836065574"/>
    <n v="1"/>
    <n v="551.4457142857143"/>
    <n v="63.280655737704919"/>
    <x v="0"/>
  </r>
  <r>
    <x v="110"/>
    <x v="5"/>
    <n v="93"/>
    <n v="14"/>
    <n v="466.81"/>
    <n v="5"/>
    <n v="988.98"/>
    <s v="Liam"/>
    <s v="Martinez"/>
    <x v="146"/>
    <s v="Male"/>
    <n v="0.15053763440860216"/>
    <n v="0.35714285714285715"/>
    <n v="197.79599999999999"/>
    <n v="10.634193548387097"/>
    <x v="0"/>
  </r>
  <r>
    <x v="110"/>
    <x v="5"/>
    <n v="30"/>
    <n v="16"/>
    <n v="353.65"/>
    <n v="9"/>
    <n v="1213.5899999999999"/>
    <s v="Molly"/>
    <s v="Miller"/>
    <x v="56"/>
    <s v="Female"/>
    <n v="0.53333333333333333"/>
    <n v="0.5625"/>
    <n v="134.84333333333333"/>
    <n v="40.452999999999996"/>
    <x v="0"/>
  </r>
  <r>
    <x v="110"/>
    <x v="5"/>
    <n v="71"/>
    <n v="11"/>
    <n v="379.33"/>
    <n v="4"/>
    <n v="4003.52"/>
    <s v="Alice"/>
    <s v="Garcia"/>
    <x v="121"/>
    <s v="Female"/>
    <n v="0.15492957746478872"/>
    <n v="0.36363636363636365"/>
    <n v="1000.88"/>
    <n v="56.387605633802814"/>
    <x v="0"/>
  </r>
  <r>
    <x v="110"/>
    <x v="5"/>
    <n v="19"/>
    <n v="7"/>
    <n v="199.46"/>
    <n v="7"/>
    <n v="809.56"/>
    <s v="James"/>
    <s v="Rodriguez"/>
    <x v="78"/>
    <s v="Male"/>
    <n v="0.36842105263157893"/>
    <n v="1"/>
    <n v="115.65142857142857"/>
    <n v="42.608421052631577"/>
    <x v="0"/>
  </r>
  <r>
    <x v="110"/>
    <x v="5"/>
    <n v="35"/>
    <n v="16"/>
    <n v="351.71"/>
    <n v="9"/>
    <n v="3984.69"/>
    <s v="Mimi"/>
    <s v="Miller"/>
    <x v="147"/>
    <s v="Male"/>
    <n v="0.45714285714285713"/>
    <n v="0.5625"/>
    <n v="442.74333333333334"/>
    <n v="113.84828571428572"/>
    <x v="0"/>
  </r>
  <r>
    <x v="110"/>
    <x v="5"/>
    <n v="35"/>
    <n v="12"/>
    <n v="515.24"/>
    <n v="5"/>
    <n v="224.24"/>
    <s v="David"/>
    <s v="Martinez"/>
    <x v="148"/>
    <s v="Female"/>
    <n v="0.34285714285714286"/>
    <n v="0.41666666666666669"/>
    <n v="44.847999999999999"/>
    <n v="6.4068571428571435"/>
    <x v="0"/>
  </r>
  <r>
    <x v="110"/>
    <x v="5"/>
    <n v="114"/>
    <n v="13"/>
    <n v="364.35"/>
    <n v="0"/>
    <n v="2988.28"/>
    <s v="Craig"/>
    <s v="Jones"/>
    <x v="149"/>
    <s v="Male"/>
    <n v="0.11403508771929824"/>
    <n v="0"/>
    <n v="0"/>
    <n v="26.212982456140352"/>
    <x v="1"/>
  </r>
  <r>
    <x v="110"/>
    <x v="5"/>
    <n v="58"/>
    <n v="7"/>
    <n v="173.24"/>
    <n v="7"/>
    <n v="525.73"/>
    <s v="Josh"/>
    <s v="Johnson"/>
    <x v="3"/>
    <s v="Female"/>
    <n v="0.1206896551724138"/>
    <n v="1"/>
    <n v="75.104285714285723"/>
    <n v="9.0643103448275859"/>
    <x v="0"/>
  </r>
  <r>
    <x v="110"/>
    <x v="5"/>
    <n v="92"/>
    <n v="5"/>
    <n v="569.75"/>
    <n v="2"/>
    <n v="3734.43"/>
    <s v="Emma"/>
    <s v="Garcia"/>
    <x v="150"/>
    <s v="Male"/>
    <n v="5.434782608695652E-2"/>
    <n v="0.4"/>
    <n v="1867.2149999999999"/>
    <n v="40.591630434782608"/>
    <x v="0"/>
  </r>
  <r>
    <x v="110"/>
    <x v="5"/>
    <n v="21"/>
    <n v="16"/>
    <n v="315.91000000000003"/>
    <n v="1"/>
    <n v="1455.83"/>
    <s v="Grace"/>
    <s v="Brown"/>
    <x v="151"/>
    <s v="Male"/>
    <n v="0.76190476190476186"/>
    <n v="6.25E-2"/>
    <n v="1455.83"/>
    <n v="69.325238095238092"/>
    <x v="1"/>
  </r>
  <r>
    <x v="110"/>
    <x v="5"/>
    <n v="69"/>
    <n v="16"/>
    <n v="495.32"/>
    <n v="0"/>
    <n v="1262.99"/>
    <s v="Vicky"/>
    <s v="Williams"/>
    <x v="152"/>
    <s v="Female"/>
    <n v="0.2318840579710145"/>
    <n v="0"/>
    <n v="0"/>
    <n v="18.304202898550724"/>
    <x v="1"/>
  </r>
  <r>
    <x v="110"/>
    <x v="5"/>
    <n v="88"/>
    <n v="18"/>
    <n v="181.21"/>
    <n v="4"/>
    <n v="377.13"/>
    <s v="Will"/>
    <s v="Rodriguez"/>
    <x v="153"/>
    <s v="Female"/>
    <n v="0.20454545454545456"/>
    <n v="0.22222222222222221"/>
    <n v="94.282499999999999"/>
    <n v="4.2855681818181814"/>
    <x v="0"/>
  </r>
  <r>
    <x v="110"/>
    <x v="5"/>
    <n v="28"/>
    <n v="16"/>
    <n v="506.95"/>
    <n v="6"/>
    <n v="3993.03"/>
    <s v="Darren"/>
    <s v="Garcia"/>
    <x v="154"/>
    <s v="Male"/>
    <n v="0.5714285714285714"/>
    <n v="0.375"/>
    <n v="665.505"/>
    <n v="142.6082142857143"/>
    <x v="0"/>
  </r>
  <r>
    <x v="110"/>
    <x v="5"/>
    <n v="93"/>
    <n v="5"/>
    <n v="85.65"/>
    <n v="5"/>
    <n v="3913.17"/>
    <s v="Karol"/>
    <s v="Jones"/>
    <x v="61"/>
    <s v="Female"/>
    <n v="5.3763440860215055E-2"/>
    <n v="1"/>
    <n v="782.63400000000001"/>
    <n v="42.077096774193549"/>
    <x v="0"/>
  </r>
  <r>
    <x v="110"/>
    <x v="5"/>
    <n v="54"/>
    <n v="16"/>
    <n v="334.41"/>
    <n v="9"/>
    <n v="1056.98"/>
    <s v="Chris"/>
    <s v="Brown"/>
    <x v="86"/>
    <s v="Female"/>
    <n v="0.29629629629629628"/>
    <n v="0.5625"/>
    <n v="117.44222222222223"/>
    <n v="19.573703703703703"/>
    <x v="0"/>
  </r>
  <r>
    <x v="110"/>
    <x v="5"/>
    <n v="48"/>
    <n v="14"/>
    <n v="383.94"/>
    <n v="3"/>
    <n v="3173.36"/>
    <s v="Diana"/>
    <s v="Davis"/>
    <x v="155"/>
    <s v="Male"/>
    <n v="0.29166666666666669"/>
    <n v="0.21428571428571427"/>
    <n v="1057.7866666666666"/>
    <n v="66.111666666666665"/>
    <x v="0"/>
  </r>
  <r>
    <x v="110"/>
    <x v="5"/>
    <n v="40"/>
    <n v="6"/>
    <n v="509.67"/>
    <n v="4"/>
    <n v="3330.44"/>
    <s v="Richard"/>
    <s v="Martinez"/>
    <x v="156"/>
    <s v="Female"/>
    <n v="0.15"/>
    <n v="0.66666666666666663"/>
    <n v="832.61"/>
    <n v="83.260999999999996"/>
    <x v="0"/>
  </r>
  <r>
    <x v="110"/>
    <x v="5"/>
    <n v="73"/>
    <n v="21"/>
    <n v="601.02"/>
    <n v="2"/>
    <n v="364.56"/>
    <s v="Paul"/>
    <s v="Garcia"/>
    <x v="157"/>
    <s v="Female"/>
    <n v="0.28767123287671231"/>
    <n v="9.5238095238095233E-2"/>
    <n v="182.28"/>
    <n v="4.993972602739726"/>
    <x v="1"/>
  </r>
  <r>
    <x v="110"/>
    <x v="5"/>
    <n v="36"/>
    <n v="9"/>
    <n v="196.74"/>
    <n v="1"/>
    <n v="3760.57"/>
    <s v="Ian"/>
    <s v="Martinez"/>
    <x v="114"/>
    <s v="Female"/>
    <n v="0.25"/>
    <n v="0.1111111111111111"/>
    <n v="3760.57"/>
    <n v="104.46027777777778"/>
    <x v="1"/>
  </r>
  <r>
    <x v="110"/>
    <x v="5"/>
    <n v="58"/>
    <n v="8"/>
    <n v="196.58"/>
    <n v="3"/>
    <n v="692.47"/>
    <s v="Melissa"/>
    <s v="Miller"/>
    <x v="120"/>
    <s v="Female"/>
    <n v="0.13793103448275862"/>
    <n v="0.375"/>
    <n v="230.82333333333335"/>
    <n v="11.939137931034484"/>
    <x v="0"/>
  </r>
  <r>
    <x v="110"/>
    <x v="5"/>
    <n v="100"/>
    <n v="5"/>
    <n v="153.87"/>
    <n v="2"/>
    <n v="1190.24"/>
    <s v="Alex"/>
    <s v="Garcia"/>
    <x v="158"/>
    <s v="Male"/>
    <n v="0.05"/>
    <n v="0.4"/>
    <n v="595.12"/>
    <n v="11.9024"/>
    <x v="0"/>
  </r>
  <r>
    <x v="111"/>
    <x v="5"/>
    <n v="73"/>
    <n v="18"/>
    <n v="442.36558627693961"/>
    <n v="4"/>
    <n v="4614.853756662319"/>
    <s v="Anna"/>
    <s v="Martinez"/>
    <x v="143"/>
    <s v="Female"/>
    <n v="0.24657534246575341"/>
    <n v="0.22222222222222221"/>
    <n v="1153.7134391655798"/>
    <n v="63.21717474879889"/>
    <x v="0"/>
  </r>
  <r>
    <x v="112"/>
    <x v="5"/>
    <n v="60"/>
    <n v="52"/>
    <n v="181.30846967244571"/>
    <n v="18"/>
    <n v="2384.467362014329"/>
    <s v="Jake"/>
    <s v="Brown"/>
    <x v="99"/>
    <s v="Female"/>
    <n v="0.8666666666666667"/>
    <n v="0.34615384615384615"/>
    <n v="132.47040900079605"/>
    <n v="39.741122700238819"/>
    <x v="0"/>
  </r>
  <r>
    <x v="113"/>
    <x v="5"/>
    <n v="66"/>
    <n v="57"/>
    <n v="555.46359224692128"/>
    <n v="13"/>
    <n v="2224.123377122738"/>
    <s v="Chris"/>
    <s v="Brown"/>
    <x v="86"/>
    <s v="Female"/>
    <n v="0.86363636363636365"/>
    <n v="0.22807017543859648"/>
    <n v="171.08641362482601"/>
    <n v="33.698839047314209"/>
    <x v="0"/>
  </r>
  <r>
    <x v="114"/>
    <x v="5"/>
    <n v="57"/>
    <n v="48"/>
    <n v="511.26862146158447"/>
    <n v="25"/>
    <n v="2835.1296737727689"/>
    <s v="Mimi"/>
    <s v="Smith"/>
    <x v="89"/>
    <s v="Female"/>
    <n v="0.84210526315789469"/>
    <n v="0.52083333333333337"/>
    <n v="113.40518695091076"/>
    <n v="49.739117083732786"/>
    <x v="0"/>
  </r>
  <r>
    <x v="115"/>
    <x v="5"/>
    <n v="84"/>
    <n v="51"/>
    <n v="574.89995664596199"/>
    <n v="3"/>
    <n v="711.3468504877477"/>
    <s v="Anna"/>
    <s v="Johnson"/>
    <x v="95"/>
    <s v="Male"/>
    <n v="0.6071428571428571"/>
    <n v="5.8823529411764705E-2"/>
    <n v="237.11561682924923"/>
    <n v="8.468414886758902"/>
    <x v="1"/>
  </r>
  <r>
    <x v="116"/>
    <x v="5"/>
    <n v="84"/>
    <n v="35"/>
    <n v="462.85975419418003"/>
    <n v="24"/>
    <n v="1248.2751594023571"/>
    <s v="Jake"/>
    <s v="Davis"/>
    <x v="159"/>
    <s v="Male"/>
    <n v="0.41666666666666669"/>
    <n v="0.68571428571428572"/>
    <n v="52.011464975098214"/>
    <n v="14.860418564313775"/>
    <x v="0"/>
  </r>
  <r>
    <x v="117"/>
    <x v="5"/>
    <n v="82"/>
    <n v="59"/>
    <n v="406.70759796789491"/>
    <n v="24"/>
    <n v="3821.1512739186669"/>
    <s v="Evan"/>
    <s v="Davis"/>
    <x v="44"/>
    <s v="Female"/>
    <n v="0.71951219512195119"/>
    <n v="0.40677966101694918"/>
    <n v="159.21463641327779"/>
    <n v="46.599405779495939"/>
    <x v="0"/>
  </r>
  <r>
    <x v="118"/>
    <x v="5"/>
    <n v="54"/>
    <n v="34"/>
    <n v="309.12151814530938"/>
    <n v="17"/>
    <n v="872.59400566306908"/>
    <s v="Chris"/>
    <s v="Johnson"/>
    <x v="30"/>
    <s v="Female"/>
    <n v="0.62962962962962965"/>
    <n v="0.5"/>
    <n v="51.32905915665112"/>
    <n v="16.159148253019797"/>
    <x v="0"/>
  </r>
  <r>
    <x v="119"/>
    <x v="5"/>
    <n v="91"/>
    <n v="33"/>
    <n v="566.3642416770067"/>
    <n v="39"/>
    <n v="3214.1844925987471"/>
    <s v="Evan"/>
    <s v="Brown"/>
    <x v="160"/>
    <s v="Male"/>
    <n v="0.36263736263736263"/>
    <n v="1.1818181818181819"/>
    <n v="82.414986989711466"/>
    <n v="35.320708709876342"/>
    <x v="0"/>
  </r>
  <r>
    <x v="120"/>
    <x v="5"/>
    <n v="88"/>
    <n v="22"/>
    <n v="533.03194475020416"/>
    <n v="7"/>
    <n v="1604.070993565944"/>
    <s v="Jane"/>
    <s v="Smith"/>
    <x v="38"/>
    <s v="Male"/>
    <n v="0.25"/>
    <n v="0.31818181818181818"/>
    <n v="229.15299908084916"/>
    <n v="18.228079472340273"/>
    <x v="0"/>
  </r>
  <r>
    <x v="121"/>
    <x v="5"/>
    <n v="90"/>
    <n v="69"/>
    <n v="122.6093350530947"/>
    <n v="38"/>
    <n v="2251.8302631888951"/>
    <s v="John"/>
    <s v="Johnson"/>
    <x v="72"/>
    <s v="Female"/>
    <n v="0.76666666666666672"/>
    <n v="0.55072463768115942"/>
    <n v="59.258691136549871"/>
    <n v="25.020336257654389"/>
    <x v="0"/>
  </r>
  <r>
    <x v="122"/>
    <x v="5"/>
    <n v="77"/>
    <n v="16"/>
    <n v="113.18348724862599"/>
    <n v="39"/>
    <n v="1799.121815468149"/>
    <s v="Chris"/>
    <s v="Smith"/>
    <x v="16"/>
    <s v="Female"/>
    <n v="0.20779220779220781"/>
    <n v="2.4375"/>
    <n v="46.131328601747406"/>
    <n v="23.365218382703233"/>
    <x v="0"/>
  </r>
  <r>
    <x v="123"/>
    <x v="5"/>
    <n v="56"/>
    <n v="66"/>
    <n v="288.23168343902478"/>
    <n v="13"/>
    <n v="2100.5272240922709"/>
    <s v="Jake"/>
    <s v="Smith"/>
    <x v="67"/>
    <s v="Female"/>
    <n v="1.1785714285714286"/>
    <n v="0.19696969696969696"/>
    <n v="161.57901723786699"/>
    <n v="37.50941471593341"/>
    <x v="1"/>
  </r>
  <r>
    <x v="124"/>
    <x v="5"/>
    <n v="58"/>
    <n v="45"/>
    <n v="505.27666539091638"/>
    <n v="31"/>
    <n v="3735.7065733291051"/>
    <s v="Jake"/>
    <s v="Smith"/>
    <x v="67"/>
    <s v="Female"/>
    <n v="0.77586206896551724"/>
    <n v="0.68888888888888888"/>
    <n v="120.50666365577759"/>
    <n v="64.40873402291561"/>
    <x v="0"/>
  </r>
  <r>
    <x v="125"/>
    <x v="5"/>
    <n v="57"/>
    <n v="54"/>
    <n v="593.63806465747223"/>
    <n v="37"/>
    <n v="1837.0477203042881"/>
    <s v="Jane"/>
    <s v="Garcia"/>
    <x v="124"/>
    <s v="Male"/>
    <n v="0.94736842105263153"/>
    <n v="0.68518518518518523"/>
    <n v="49.649938386602379"/>
    <n v="32.228907373759441"/>
    <x v="0"/>
  </r>
  <r>
    <x v="126"/>
    <x v="5"/>
    <n v="61"/>
    <n v="29"/>
    <n v="175.2084455517641"/>
    <n v="32"/>
    <n v="3048.820881336037"/>
    <s v="Jane"/>
    <s v="Martinez"/>
    <x v="32"/>
    <s v="Male"/>
    <n v="0.47540983606557374"/>
    <n v="1.103448275862069"/>
    <n v="95.275652541751157"/>
    <n v="49.980670185836672"/>
    <x v="0"/>
  </r>
  <r>
    <x v="127"/>
    <x v="5"/>
    <n v="83"/>
    <n v="74"/>
    <n v="397.06535767606749"/>
    <n v="22"/>
    <n v="2642.226809895948"/>
    <s v="Alice"/>
    <s v="Smith"/>
    <x v="24"/>
    <s v="Male"/>
    <n v="0.89156626506024095"/>
    <n v="0.29729729729729731"/>
    <n v="120.101218631634"/>
    <n v="31.834057950553589"/>
    <x v="0"/>
  </r>
  <r>
    <x v="128"/>
    <x v="5"/>
    <n v="82"/>
    <n v="17"/>
    <n v="290.44542831551081"/>
    <n v="14"/>
    <n v="3486.520244131917"/>
    <s v="Chris"/>
    <s v="Garcia"/>
    <x v="35"/>
    <s v="Female"/>
    <n v="0.2073170731707317"/>
    <n v="0.82352941176470584"/>
    <n v="249.03716029513694"/>
    <n v="42.518539562584351"/>
    <x v="0"/>
  </r>
  <r>
    <x v="129"/>
    <x v="5"/>
    <n v="97"/>
    <n v="25"/>
    <n v="584.95719890730152"/>
    <n v="32"/>
    <n v="4715.7338269614111"/>
    <s v="Evan"/>
    <s v="Brown"/>
    <x v="160"/>
    <s v="Female"/>
    <n v="0.25773195876288657"/>
    <n v="1.28"/>
    <n v="147.3666820925441"/>
    <n v="48.615812649086713"/>
    <x v="0"/>
  </r>
  <r>
    <x v="130"/>
    <x v="5"/>
    <n v="72"/>
    <n v="23"/>
    <n v="521.05946156785433"/>
    <n v="24"/>
    <n v="3796.574437446126"/>
    <s v="Mimi"/>
    <s v="Johnson"/>
    <x v="125"/>
    <s v="Male"/>
    <n v="0.31944444444444442"/>
    <n v="1.0434782608695652"/>
    <n v="158.19060156025526"/>
    <n v="52.730200520085084"/>
    <x v="0"/>
  </r>
  <r>
    <x v="131"/>
    <x v="6"/>
    <n v="34"/>
    <n v="7"/>
    <n v="199.39"/>
    <n v="1"/>
    <n v="3767.74"/>
    <s v="Ian"/>
    <s v="Brown"/>
    <x v="161"/>
    <s v="Male"/>
    <n v="0.20588235294117646"/>
    <n v="0.14285714285714285"/>
    <n v="3767.74"/>
    <n v="110.81588235294117"/>
    <x v="1"/>
  </r>
  <r>
    <x v="131"/>
    <x v="6"/>
    <n v="72"/>
    <n v="21"/>
    <n v="604.57000000000005"/>
    <n v="2"/>
    <n v="327.82"/>
    <s v="Paul"/>
    <s v="Williams"/>
    <x v="162"/>
    <s v="Female"/>
    <n v="0.29166666666666669"/>
    <n v="9.5238095238095233E-2"/>
    <n v="163.91"/>
    <n v="4.5530555555555559"/>
    <x v="1"/>
  </r>
  <r>
    <x v="131"/>
    <x v="6"/>
    <n v="32"/>
    <n v="6"/>
    <n v="553.58000000000004"/>
    <n v="3"/>
    <n v="3939.56"/>
    <s v="Richard"/>
    <s v="Brown"/>
    <x v="163"/>
    <s v="Female"/>
    <n v="0.1875"/>
    <n v="0.5"/>
    <n v="1313.1866666666667"/>
    <n v="123.11125"/>
    <x v="0"/>
  </r>
  <r>
    <x v="131"/>
    <x v="6"/>
    <n v="17"/>
    <n v="8"/>
    <n v="208.21"/>
    <n v="4"/>
    <n v="828.73"/>
    <s v="James"/>
    <s v="Jones"/>
    <x v="15"/>
    <s v="Male"/>
    <n v="0.47058823529411764"/>
    <n v="0.5"/>
    <n v="207.1825"/>
    <n v="48.748823529411766"/>
    <x v="0"/>
  </r>
  <r>
    <x v="131"/>
    <x v="6"/>
    <n v="50"/>
    <n v="9"/>
    <n v="246.06"/>
    <n v="5"/>
    <n v="4227.22"/>
    <s v="Charlie"/>
    <s v="Martinez"/>
    <x v="137"/>
    <s v="Male"/>
    <n v="0.18"/>
    <n v="0.55555555555555558"/>
    <n v="845.44400000000007"/>
    <n v="84.54440000000001"/>
    <x v="0"/>
  </r>
  <r>
    <x v="131"/>
    <x v="6"/>
    <n v="31"/>
    <n v="15"/>
    <n v="347.38"/>
    <n v="10"/>
    <n v="1101.06"/>
    <s v="Molly"/>
    <s v="Miller"/>
    <x v="56"/>
    <s v="Male"/>
    <n v="0.4838709677419355"/>
    <n v="0.66666666666666663"/>
    <n v="110.10599999999999"/>
    <n v="35.51806451612903"/>
    <x v="0"/>
  </r>
  <r>
    <x v="131"/>
    <x v="6"/>
    <n v="77"/>
    <n v="15"/>
    <n v="282.58999999999997"/>
    <n v="2"/>
    <n v="2296.14"/>
    <s v="Rick"/>
    <s v="Brown"/>
    <x v="164"/>
    <s v="Male"/>
    <n v="0.19480519480519481"/>
    <n v="0.13333333333333333"/>
    <n v="1148.07"/>
    <n v="29.819999999999997"/>
    <x v="1"/>
  </r>
  <r>
    <x v="131"/>
    <x v="6"/>
    <n v="70"/>
    <n v="5"/>
    <n v="491.31"/>
    <n v="3"/>
    <n v="3289.06"/>
    <s v="Bob"/>
    <s v="Martinez"/>
    <x v="165"/>
    <s v="Male"/>
    <n v="7.1428571428571425E-2"/>
    <n v="0.6"/>
    <n v="1096.3533333333332"/>
    <n v="46.98657142857143"/>
    <x v="0"/>
  </r>
  <r>
    <x v="131"/>
    <x v="6"/>
    <n v="77"/>
    <n v="16"/>
    <n v="335.59"/>
    <n v="7"/>
    <n v="1087.4100000000001"/>
    <s v="Chris"/>
    <s v="Davis"/>
    <x v="37"/>
    <s v="Male"/>
    <n v="0.20779220779220781"/>
    <n v="0.4375"/>
    <n v="155.34428571428572"/>
    <n v="14.122207792207794"/>
    <x v="0"/>
  </r>
  <r>
    <x v="131"/>
    <x v="6"/>
    <n v="71"/>
    <n v="9"/>
    <n v="220.4"/>
    <n v="2"/>
    <n v="692.29"/>
    <s v="Melissa"/>
    <s v="Garcia"/>
    <x v="166"/>
    <s v="Male"/>
    <n v="0.12676056338028169"/>
    <n v="0.22222222222222221"/>
    <n v="346.14499999999998"/>
    <n v="9.7505633802816902"/>
    <x v="0"/>
  </r>
  <r>
    <x v="131"/>
    <x v="6"/>
    <n v="24"/>
    <n v="13"/>
    <n v="471.72"/>
    <n v="7"/>
    <n v="3588.89"/>
    <s v="Darren"/>
    <s v="Rodriguez"/>
    <x v="77"/>
    <s v="Male"/>
    <n v="0.54166666666666663"/>
    <n v="0.53846153846153844"/>
    <n v="512.69857142857143"/>
    <n v="149.53708333333333"/>
    <x v="0"/>
  </r>
  <r>
    <x v="131"/>
    <x v="6"/>
    <n v="71"/>
    <n v="7"/>
    <n v="78.53"/>
    <n v="4"/>
    <n v="3652.64"/>
    <s v="Karol"/>
    <s v="Williams"/>
    <x v="167"/>
    <s v="Female"/>
    <n v="9.8591549295774641E-2"/>
    <n v="0.5714285714285714"/>
    <n v="913.16"/>
    <n v="51.4456338028169"/>
    <x v="0"/>
  </r>
  <r>
    <x v="131"/>
    <x v="6"/>
    <n v="71"/>
    <n v="12"/>
    <n v="487.04"/>
    <n v="5"/>
    <n v="1004.9"/>
    <s v="Liam"/>
    <s v="Martinez"/>
    <x v="146"/>
    <s v="Male"/>
    <n v="0.16901408450704225"/>
    <n v="0.41666666666666669"/>
    <n v="200.98"/>
    <n v="14.153521126760563"/>
    <x v="0"/>
  </r>
  <r>
    <x v="131"/>
    <x v="6"/>
    <n v="75"/>
    <n v="17"/>
    <n v="176.07"/>
    <n v="5"/>
    <n v="458.18"/>
    <s v="Will"/>
    <s v="Davis"/>
    <x v="168"/>
    <s v="Male"/>
    <n v="0.22666666666666666"/>
    <n v="0.29411764705882354"/>
    <n v="91.635999999999996"/>
    <n v="6.1090666666666671"/>
    <x v="0"/>
  </r>
  <r>
    <x v="131"/>
    <x v="6"/>
    <n v="76"/>
    <n v="11"/>
    <n v="486.93"/>
    <n v="0"/>
    <n v="1219.29"/>
    <s v="Vicky"/>
    <s v="Davis"/>
    <x v="63"/>
    <s v="Female"/>
    <n v="0.14473684210526316"/>
    <n v="0"/>
    <n v="0"/>
    <n v="16.043289473684212"/>
    <x v="1"/>
  </r>
  <r>
    <x v="131"/>
    <x v="6"/>
    <n v="20"/>
    <n v="14"/>
    <n v="283.66000000000003"/>
    <n v="2"/>
    <n v="1494.14"/>
    <s v="Grace"/>
    <s v="Davis"/>
    <x v="115"/>
    <s v="Male"/>
    <n v="0.7"/>
    <n v="0.14285714285714285"/>
    <n v="747.07"/>
    <n v="74.707000000000008"/>
    <x v="1"/>
  </r>
  <r>
    <x v="131"/>
    <x v="6"/>
    <n v="79"/>
    <n v="6"/>
    <n v="536.04999999999995"/>
    <n v="1"/>
    <n v="3682.29"/>
    <s v="Emma"/>
    <s v="Jones"/>
    <x v="130"/>
    <s v="Female"/>
    <n v="7.5949367088607597E-2"/>
    <n v="0.16666666666666666"/>
    <n v="3682.29"/>
    <n v="46.611265822784809"/>
    <x v="1"/>
  </r>
  <r>
    <x v="131"/>
    <x v="6"/>
    <n v="82"/>
    <n v="9"/>
    <n v="171.86"/>
    <n v="7"/>
    <n v="506.88"/>
    <s v="Josh"/>
    <s v="Garcia"/>
    <x v="87"/>
    <s v="Male"/>
    <n v="0.10975609756097561"/>
    <n v="0.77777777777777779"/>
    <n v="72.411428571428573"/>
    <n v="6.1814634146341465"/>
    <x v="0"/>
  </r>
  <r>
    <x v="131"/>
    <x v="6"/>
    <n v="103"/>
    <n v="15"/>
    <n v="359.16"/>
    <n v="1"/>
    <n v="2949.94"/>
    <s v="Craig"/>
    <s v="Davis"/>
    <x v="169"/>
    <s v="Male"/>
    <n v="0.14563106796116504"/>
    <n v="6.6666666666666666E-2"/>
    <n v="2949.94"/>
    <n v="28.640194174757283"/>
    <x v="1"/>
  </r>
  <r>
    <x v="131"/>
    <x v="6"/>
    <n v="41"/>
    <n v="9"/>
    <n v="569.97"/>
    <n v="5"/>
    <n v="259.86"/>
    <s v="David"/>
    <s v="Rodriguez"/>
    <x v="46"/>
    <s v="Male"/>
    <n v="0.21951219512195122"/>
    <n v="0.55555555555555558"/>
    <n v="51.972000000000001"/>
    <n v="6.3380487804878056"/>
    <x v="0"/>
  </r>
  <r>
    <x v="131"/>
    <x v="6"/>
    <n v="38"/>
    <n v="14"/>
    <n v="359.22"/>
    <n v="8"/>
    <n v="3846.34"/>
    <s v="Mimi"/>
    <s v="Garcia"/>
    <x v="170"/>
    <s v="Female"/>
    <n v="0.36842105263157893"/>
    <n v="0.5714285714285714"/>
    <n v="480.79250000000002"/>
    <n v="101.21947368421053"/>
    <x v="0"/>
  </r>
  <r>
    <x v="131"/>
    <x v="6"/>
    <n v="83"/>
    <n v="5"/>
    <n v="166.85"/>
    <n v="4"/>
    <n v="1364.24"/>
    <s v="Alex"/>
    <s v="Brown"/>
    <x v="60"/>
    <s v="Female"/>
    <n v="6.0240963855421686E-2"/>
    <n v="0.8"/>
    <n v="341.06"/>
    <n v="16.436626506024098"/>
    <x v="0"/>
  </r>
  <r>
    <x v="131"/>
    <x v="6"/>
    <n v="18"/>
    <n v="6"/>
    <n v="76.27"/>
    <n v="4"/>
    <n v="1597.98"/>
    <s v="Jake"/>
    <s v="Jones"/>
    <x v="171"/>
    <s v="Male"/>
    <n v="0.33333333333333331"/>
    <n v="0.66666666666666663"/>
    <n v="399.495"/>
    <n v="88.776666666666671"/>
    <x v="0"/>
  </r>
  <r>
    <x v="131"/>
    <x v="6"/>
    <n v="62"/>
    <n v="13"/>
    <n v="364.64"/>
    <n v="4"/>
    <n v="3704.33"/>
    <s v="Alice"/>
    <s v="Davis"/>
    <x v="140"/>
    <s v="Female"/>
    <n v="0.20967741935483872"/>
    <n v="0.30769230769230771"/>
    <n v="926.08249999999998"/>
    <n v="59.747258064516124"/>
    <x v="0"/>
  </r>
  <r>
    <x v="131"/>
    <x v="6"/>
    <n v="71"/>
    <n v="17"/>
    <n v="360.1"/>
    <n v="6"/>
    <n v="4444.83"/>
    <s v="Evan"/>
    <s v="Johnson"/>
    <x v="34"/>
    <s v="Female"/>
    <n v="0.23943661971830985"/>
    <n v="0.35294117647058826"/>
    <n v="740.80499999999995"/>
    <n v="62.603239436619717"/>
    <x v="0"/>
  </r>
  <r>
    <x v="131"/>
    <x v="6"/>
    <n v="53"/>
    <n v="14"/>
    <n v="367.56"/>
    <n v="2"/>
    <n v="3514.07"/>
    <s v="Diana"/>
    <s v="Smith"/>
    <x v="172"/>
    <s v="Male"/>
    <n v="0.26415094339622641"/>
    <n v="0.14285714285714285"/>
    <n v="1757.0350000000001"/>
    <n v="66.303207547169819"/>
    <x v="1"/>
  </r>
  <r>
    <x v="132"/>
    <x v="6"/>
    <n v="73"/>
    <n v="24"/>
    <n v="519.16435235556901"/>
    <n v="16"/>
    <n v="1467.231703658405"/>
    <s v="Jake"/>
    <s v="Martinez"/>
    <x v="96"/>
    <s v="Male"/>
    <n v="0.32876712328767121"/>
    <n v="0.66666666666666663"/>
    <n v="91.70198147865031"/>
    <n v="20.09906443367678"/>
    <x v="0"/>
  </r>
  <r>
    <x v="133"/>
    <x v="6"/>
    <n v="86"/>
    <n v="75"/>
    <n v="334.34657989748513"/>
    <n v="32"/>
    <n v="640.32410777578104"/>
    <s v="Jake"/>
    <s v="Rodriguez"/>
    <x v="22"/>
    <s v="Male"/>
    <n v="0.87209302325581395"/>
    <n v="0.42666666666666669"/>
    <n v="20.010128367993158"/>
    <n v="7.4456291601835005"/>
    <x v="0"/>
  </r>
  <r>
    <x v="134"/>
    <x v="6"/>
    <n v="84"/>
    <n v="41"/>
    <n v="307.4097511688326"/>
    <n v="1"/>
    <n v="1680.1881993492129"/>
    <s v="Jane"/>
    <s v="Johnson"/>
    <x v="126"/>
    <s v="Male"/>
    <n v="0.48809523809523808"/>
    <n v="2.4390243902439025E-2"/>
    <n v="1680.1881993492129"/>
    <n v="20.002240468443013"/>
    <x v="1"/>
  </r>
  <r>
    <x v="135"/>
    <x v="6"/>
    <n v="93"/>
    <n v="72"/>
    <n v="236.7035359653531"/>
    <n v="13"/>
    <n v="3177.8506881511471"/>
    <s v="Anna"/>
    <s v="Martinez"/>
    <x v="143"/>
    <s v="Female"/>
    <n v="0.77419354838709675"/>
    <n v="0.18055555555555555"/>
    <n v="244.45005293470362"/>
    <n v="34.17043750700158"/>
    <x v="1"/>
  </r>
  <r>
    <x v="136"/>
    <x v="6"/>
    <n v="89"/>
    <n v="60"/>
    <n v="128.18774832546359"/>
    <n v="39"/>
    <n v="731.41616067912651"/>
    <s v="Jane"/>
    <s v="Rodriguez"/>
    <x v="101"/>
    <s v="Male"/>
    <n v="0.6741573033707865"/>
    <n v="0.65"/>
    <n v="18.754260530234014"/>
    <n v="8.2181591087542305"/>
    <x v="0"/>
  </r>
  <r>
    <x v="137"/>
    <x v="6"/>
    <n v="71"/>
    <n v="34"/>
    <n v="532.36118812752659"/>
    <n v="39"/>
    <n v="2733.648112405564"/>
    <s v="Mimi"/>
    <s v="Johnson"/>
    <x v="125"/>
    <s v="Male"/>
    <n v="0.47887323943661969"/>
    <n v="1.1470588235294117"/>
    <n v="70.093541343732412"/>
    <n v="38.502086090219208"/>
    <x v="0"/>
  </r>
  <r>
    <x v="138"/>
    <x v="6"/>
    <n v="76"/>
    <n v="67"/>
    <n v="506.45050456503878"/>
    <n v="38"/>
    <n v="3185.792820126002"/>
    <s v="Evan"/>
    <s v="Martinez"/>
    <x v="66"/>
    <s v="Male"/>
    <n v="0.88157894736842102"/>
    <n v="0.56716417910447758"/>
    <n v="83.836653161210577"/>
    <n v="41.918326580605289"/>
    <x v="0"/>
  </r>
  <r>
    <x v="139"/>
    <x v="6"/>
    <n v="84"/>
    <n v="72"/>
    <n v="599.85883664306527"/>
    <n v="5"/>
    <n v="2004.097508676324"/>
    <s v="Evan"/>
    <s v="Johnson"/>
    <x v="34"/>
    <s v="Male"/>
    <n v="0.8571428571428571"/>
    <n v="6.9444444444444448E-2"/>
    <n v="400.81950173526479"/>
    <n v="23.858303674718144"/>
    <x v="1"/>
  </r>
  <r>
    <x v="140"/>
    <x v="6"/>
    <n v="50"/>
    <n v="71"/>
    <n v="598.31841853695266"/>
    <n v="5"/>
    <n v="3969.104916856199"/>
    <s v="Anna"/>
    <s v="Johnson"/>
    <x v="95"/>
    <s v="Male"/>
    <n v="1.42"/>
    <n v="7.0422535211267609E-2"/>
    <n v="793.82098337123978"/>
    <n v="79.382098337123978"/>
    <x v="1"/>
  </r>
  <r>
    <x v="141"/>
    <x v="6"/>
    <n v="84"/>
    <n v="31"/>
    <n v="377.7158528013137"/>
    <n v="2"/>
    <n v="979.69213910197311"/>
    <s v="Jake"/>
    <s v="Rodriguez"/>
    <x v="22"/>
    <s v="Male"/>
    <n v="0.36904761904761907"/>
    <n v="6.4516129032258063E-2"/>
    <n v="489.84606955098656"/>
    <n v="11.66300165597587"/>
    <x v="1"/>
  </r>
  <r>
    <x v="142"/>
    <x v="6"/>
    <n v="86"/>
    <n v="67"/>
    <n v="484.49370759025533"/>
    <n v="6"/>
    <n v="838.12001781113941"/>
    <s v="Jane"/>
    <s v="Johnson"/>
    <x v="126"/>
    <s v="Male"/>
    <n v="0.77906976744186052"/>
    <n v="8.9552238805970144E-2"/>
    <n v="139.6866696351899"/>
    <n v="9.7455816024551094"/>
    <x v="1"/>
  </r>
  <r>
    <x v="143"/>
    <x v="6"/>
    <n v="96"/>
    <n v="67"/>
    <n v="572.38286494121394"/>
    <n v="7"/>
    <n v="3776.8494029162148"/>
    <s v="Alice"/>
    <s v="Johnson"/>
    <x v="41"/>
    <s v="Female"/>
    <n v="0.69791666666666663"/>
    <n v="0.1044776119402985"/>
    <n v="539.54991470231641"/>
    <n v="39.34218128037724"/>
    <x v="1"/>
  </r>
  <r>
    <x v="144"/>
    <x v="6"/>
    <n v="63"/>
    <n v="58"/>
    <n v="524.82369533870565"/>
    <n v="14"/>
    <n v="2729.7109229278931"/>
    <s v="Evan"/>
    <s v="Rodriguez"/>
    <x v="70"/>
    <s v="Female"/>
    <n v="0.92063492063492058"/>
    <n v="0.2413793103448276"/>
    <n v="194.97935163770666"/>
    <n v="43.328744808379255"/>
    <x v="0"/>
  </r>
  <r>
    <x v="145"/>
    <x v="6"/>
    <n v="52"/>
    <n v="61"/>
    <n v="223.67405087159881"/>
    <n v="28"/>
    <n v="3597.8107839248119"/>
    <s v="Mimi"/>
    <s v="Brown"/>
    <x v="100"/>
    <s v="Female"/>
    <n v="1.1730769230769231"/>
    <n v="0.45901639344262296"/>
    <n v="128.49324228302899"/>
    <n v="69.188668921630992"/>
    <x v="0"/>
  </r>
  <r>
    <x v="146"/>
    <x v="6"/>
    <n v="50"/>
    <n v="51"/>
    <n v="325.27206765504673"/>
    <n v="32"/>
    <n v="2456.7230237168578"/>
    <s v="Chris"/>
    <s v="Smith"/>
    <x v="16"/>
    <s v="Female"/>
    <n v="1.02"/>
    <n v="0.62745098039215685"/>
    <n v="76.772594491151807"/>
    <n v="49.134460474337153"/>
    <x v="0"/>
  </r>
  <r>
    <x v="147"/>
    <x v="6"/>
    <n v="54"/>
    <n v="79"/>
    <n v="164.57970757574751"/>
    <n v="29"/>
    <n v="1608.8091495759811"/>
    <s v="John"/>
    <s v="Davis"/>
    <x v="74"/>
    <s v="Male"/>
    <n v="1.462962962962963"/>
    <n v="0.36708860759493672"/>
    <n v="55.476177571585552"/>
    <n v="29.792762029184836"/>
    <x v="0"/>
  </r>
  <r>
    <x v="148"/>
    <x v="6"/>
    <n v="75"/>
    <n v="24"/>
    <n v="577.02551362936117"/>
    <n v="38"/>
    <n v="4185.9604295338986"/>
    <s v="John"/>
    <s v="Williams"/>
    <x v="28"/>
    <s v="Female"/>
    <n v="0.32"/>
    <n v="1.5833333333333333"/>
    <n v="110.1568534087868"/>
    <n v="55.812805727118651"/>
    <x v="0"/>
  </r>
  <r>
    <x v="149"/>
    <x v="6"/>
    <n v="63"/>
    <n v="63"/>
    <n v="403.08731722544002"/>
    <n v="26"/>
    <n v="4097.3714553604068"/>
    <s v="John"/>
    <s v="Garcia"/>
    <x v="68"/>
    <s v="Female"/>
    <n v="1"/>
    <n v="0.41269841269841268"/>
    <n v="157.59120982155412"/>
    <n v="65.037642148577888"/>
    <x v="0"/>
  </r>
  <r>
    <x v="150"/>
    <x v="6"/>
    <n v="88"/>
    <n v="69"/>
    <n v="214.32140275173131"/>
    <n v="35"/>
    <n v="3626.134118844921"/>
    <s v="Alice"/>
    <s v="Williams"/>
    <x v="142"/>
    <s v="Male"/>
    <n v="0.78409090909090906"/>
    <n v="0.50724637681159424"/>
    <n v="103.60383196699775"/>
    <n v="41.206069532328648"/>
    <x v="0"/>
  </r>
  <r>
    <x v="151"/>
    <x v="6"/>
    <n v="76"/>
    <n v="17"/>
    <n v="435.85034220292829"/>
    <n v="28"/>
    <n v="1724.6531175348321"/>
    <s v="Jake"/>
    <s v="Williams"/>
    <x v="27"/>
    <s v="Male"/>
    <n v="0.22368421052631579"/>
    <n v="1.6470588235294117"/>
    <n v="61.594754197672572"/>
    <n v="22.692804178089897"/>
    <x v="0"/>
  </r>
  <r>
    <x v="152"/>
    <x v="6"/>
    <n v="58"/>
    <n v="62"/>
    <n v="409.0641202289479"/>
    <n v="37"/>
    <n v="3156.0380009108922"/>
    <s v="Jane"/>
    <s v="Martinez"/>
    <x v="32"/>
    <s v="Female"/>
    <n v="1.0689655172413792"/>
    <n v="0.59677419354838712"/>
    <n v="85.298324348943027"/>
    <n v="54.414448291567105"/>
    <x v="0"/>
  </r>
  <r>
    <x v="153"/>
    <x v="6"/>
    <n v="64"/>
    <n v="69"/>
    <n v="279.08135901642032"/>
    <n v="32"/>
    <n v="2124.38253623012"/>
    <s v="Anna"/>
    <s v="Smith"/>
    <x v="173"/>
    <s v="Female"/>
    <n v="1.078125"/>
    <n v="0.46376811594202899"/>
    <n v="66.386954257191249"/>
    <n v="33.193477128595624"/>
    <x v="0"/>
  </r>
  <r>
    <x v="154"/>
    <x v="7"/>
    <n v="53"/>
    <n v="15"/>
    <n v="379.29"/>
    <n v="2"/>
    <n v="3409.69"/>
    <s v="Diana"/>
    <s v="Miller"/>
    <x v="51"/>
    <s v="Female"/>
    <n v="0.28301886792452829"/>
    <n v="0.13333333333333333"/>
    <n v="1704.845"/>
    <n v="64.333773584905657"/>
    <x v="1"/>
  </r>
  <r>
    <x v="154"/>
    <x v="7"/>
    <n v="18"/>
    <n v="8"/>
    <n v="82.91"/>
    <n v="3"/>
    <n v="1387.86"/>
    <s v="Jake"/>
    <s v="Williams"/>
    <x v="27"/>
    <s v="Male"/>
    <n v="0.44444444444444442"/>
    <n v="0.375"/>
    <n v="462.61999999999995"/>
    <n v="77.103333333333325"/>
    <x v="0"/>
  </r>
  <r>
    <x v="154"/>
    <x v="7"/>
    <n v="66"/>
    <n v="13"/>
    <n v="376.76"/>
    <n v="5"/>
    <n v="3819.73"/>
    <s v="Alice"/>
    <s v="Martinez"/>
    <x v="98"/>
    <s v="Female"/>
    <n v="0.19696969696969696"/>
    <n v="0.38461538461538464"/>
    <n v="763.94600000000003"/>
    <n v="57.87469696969697"/>
    <x v="0"/>
  </r>
  <r>
    <x v="154"/>
    <x v="7"/>
    <n v="72"/>
    <n v="14"/>
    <n v="437.47"/>
    <n v="4"/>
    <n v="958.02"/>
    <s v="Liam"/>
    <s v="Jones"/>
    <x v="52"/>
    <s v="Female"/>
    <n v="0.19444444444444445"/>
    <n v="0.2857142857142857"/>
    <n v="239.505"/>
    <n v="13.305833333333332"/>
    <x v="0"/>
  </r>
  <r>
    <x v="154"/>
    <x v="7"/>
    <n v="80"/>
    <n v="13"/>
    <n v="504.59"/>
    <n v="0"/>
    <n v="1265.47"/>
    <s v="Vicky"/>
    <s v="Brown"/>
    <x v="174"/>
    <s v="Male"/>
    <n v="0.16250000000000001"/>
    <n v="0"/>
    <n v="0"/>
    <n v="15.818375"/>
    <x v="1"/>
  </r>
  <r>
    <x v="154"/>
    <x v="7"/>
    <n v="76"/>
    <n v="21"/>
    <n v="293.93"/>
    <n v="2"/>
    <n v="2531.4"/>
    <s v="Rick"/>
    <s v="Rodriguez"/>
    <x v="175"/>
    <s v="Female"/>
    <n v="0.27631578947368424"/>
    <n v="9.5238095238095233E-2"/>
    <n v="1265.7"/>
    <n v="33.307894736842108"/>
    <x v="1"/>
  </r>
  <r>
    <x v="154"/>
    <x v="7"/>
    <n v="40"/>
    <n v="17"/>
    <n v="355.83"/>
    <n v="6"/>
    <n v="4155.8599999999997"/>
    <s v="Mimi"/>
    <s v="Williams"/>
    <x v="1"/>
    <s v="Male"/>
    <n v="0.42499999999999999"/>
    <n v="0.35294117647058826"/>
    <n v="692.64333333333332"/>
    <n v="103.89649999999999"/>
    <x v="0"/>
  </r>
  <r>
    <x v="154"/>
    <x v="7"/>
    <n v="34"/>
    <n v="10"/>
    <n v="565.11"/>
    <n v="5"/>
    <n v="222.62"/>
    <s v="David"/>
    <s v="Martinez"/>
    <x v="148"/>
    <s v="Male"/>
    <n v="0.29411764705882354"/>
    <n v="0.5"/>
    <n v="44.524000000000001"/>
    <n v="6.5476470588235296"/>
    <x v="0"/>
  </r>
  <r>
    <x v="154"/>
    <x v="7"/>
    <n v="115"/>
    <n v="17"/>
    <n v="422.48"/>
    <n v="0"/>
    <n v="2681.51"/>
    <s v="Craig"/>
    <s v="Davis"/>
    <x v="169"/>
    <s v="Female"/>
    <n v="0.14782608695652175"/>
    <n v="0"/>
    <n v="0"/>
    <n v="23.317478260869567"/>
    <x v="1"/>
  </r>
  <r>
    <x v="154"/>
    <x v="7"/>
    <n v="64"/>
    <n v="7"/>
    <n v="554.20000000000005"/>
    <n v="2"/>
    <n v="3620.9"/>
    <s v="Bob"/>
    <s v="Miller"/>
    <x v="176"/>
    <s v="Female"/>
    <n v="0.109375"/>
    <n v="0.2857142857142857"/>
    <n v="1810.45"/>
    <n v="56.576562500000001"/>
    <x v="0"/>
  </r>
  <r>
    <x v="154"/>
    <x v="7"/>
    <n v="106"/>
    <n v="6"/>
    <n v="572.16"/>
    <n v="2"/>
    <n v="3398.37"/>
    <s v="Emma"/>
    <s v="Miller"/>
    <x v="65"/>
    <s v="Female"/>
    <n v="5.6603773584905662E-2"/>
    <n v="0.33333333333333331"/>
    <n v="1699.1849999999999"/>
    <n v="32.060094339622637"/>
    <x v="0"/>
  </r>
  <r>
    <x v="154"/>
    <x v="7"/>
    <n v="18"/>
    <n v="12"/>
    <n v="262.26"/>
    <n v="1"/>
    <n v="1573.7"/>
    <s v="Grace"/>
    <s v="Martinez"/>
    <x v="177"/>
    <s v="Female"/>
    <n v="0.66666666666666663"/>
    <n v="8.3333333333333329E-2"/>
    <n v="1573.7"/>
    <n v="87.427777777777777"/>
    <x v="1"/>
  </r>
  <r>
    <x v="154"/>
    <x v="7"/>
    <n v="85"/>
    <n v="17"/>
    <n v="187.72"/>
    <n v="5"/>
    <n v="443.22"/>
    <s v="Will"/>
    <s v="Miller"/>
    <x v="178"/>
    <s v="Female"/>
    <n v="0.2"/>
    <n v="0.29411764705882354"/>
    <n v="88.644000000000005"/>
    <n v="5.2143529411764709"/>
    <x v="0"/>
  </r>
  <r>
    <x v="154"/>
    <x v="7"/>
    <n v="22"/>
    <n v="14"/>
    <n v="477.3"/>
    <n v="6"/>
    <n v="3790.05"/>
    <s v="Darren"/>
    <s v="Jones"/>
    <x v="179"/>
    <s v="Female"/>
    <n v="0.63636363636363635"/>
    <n v="0.42857142857142855"/>
    <n v="631.67500000000007"/>
    <n v="172.27500000000001"/>
    <x v="0"/>
  </r>
  <r>
    <x v="154"/>
    <x v="7"/>
    <n v="71"/>
    <n v="6"/>
    <n v="87.5"/>
    <n v="3"/>
    <n v="3666.64"/>
    <s v="Karol"/>
    <s v="Smith"/>
    <x v="119"/>
    <s v="Male"/>
    <n v="8.4507042253521125E-2"/>
    <n v="0.5"/>
    <n v="1222.2133333333334"/>
    <n v="51.642816901408452"/>
    <x v="0"/>
  </r>
  <r>
    <x v="154"/>
    <x v="7"/>
    <n v="71"/>
    <n v="9"/>
    <n v="172.96"/>
    <n v="6"/>
    <n v="464.49"/>
    <s v="Josh"/>
    <s v="Martinez"/>
    <x v="180"/>
    <s v="Female"/>
    <n v="0.12676056338028169"/>
    <n v="0.66666666666666663"/>
    <n v="77.415000000000006"/>
    <n v="6.5421126760563384"/>
    <x v="0"/>
  </r>
  <r>
    <x v="154"/>
    <x v="7"/>
    <n v="73"/>
    <n v="8"/>
    <n v="191.76"/>
    <n v="3"/>
    <n v="675.97"/>
    <s v="Melissa"/>
    <s v="Jones"/>
    <x v="181"/>
    <s v="Male"/>
    <n v="0.1095890410958904"/>
    <n v="0.375"/>
    <n v="225.32333333333335"/>
    <n v="9.2598630136986309"/>
    <x v="0"/>
  </r>
  <r>
    <x v="154"/>
    <x v="7"/>
    <n v="104"/>
    <n v="4"/>
    <n v="169.75"/>
    <n v="3"/>
    <n v="1255.83"/>
    <s v="Alex"/>
    <s v="Jones"/>
    <x v="182"/>
    <s v="Male"/>
    <n v="3.8461538461538464E-2"/>
    <n v="0.75"/>
    <n v="418.60999999999996"/>
    <n v="12.075288461538461"/>
    <x v="0"/>
  </r>
  <r>
    <x v="154"/>
    <x v="7"/>
    <n v="64"/>
    <n v="9"/>
    <n v="255.17"/>
    <n v="6"/>
    <n v="4136.6899999999996"/>
    <s v="Charlie"/>
    <s v="Jones"/>
    <x v="183"/>
    <s v="Female"/>
    <n v="0.140625"/>
    <n v="0.66666666666666663"/>
    <n v="689.44833333333327"/>
    <n v="64.635781249999994"/>
    <x v="0"/>
  </r>
  <r>
    <x v="154"/>
    <x v="7"/>
    <n v="26"/>
    <n v="17"/>
    <n v="391.73"/>
    <n v="7"/>
    <n v="1166.55"/>
    <s v="Molly"/>
    <s v="Johnson"/>
    <x v="184"/>
    <s v="Male"/>
    <n v="0.65384615384615385"/>
    <n v="0.41176470588235292"/>
    <n v="166.65"/>
    <n v="44.867307692307691"/>
    <x v="0"/>
  </r>
  <r>
    <x v="154"/>
    <x v="7"/>
    <n v="65"/>
    <n v="13"/>
    <n v="324.26"/>
    <n v="7"/>
    <n v="1044.8599999999999"/>
    <s v="Chris"/>
    <s v="Miller"/>
    <x v="108"/>
    <s v="Male"/>
    <n v="0.2"/>
    <n v="0.53846153846153844"/>
    <n v="149.26571428571427"/>
    <n v="16.074769230769228"/>
    <x v="0"/>
  </r>
  <r>
    <x v="154"/>
    <x v="7"/>
    <n v="71"/>
    <n v="15"/>
    <n v="297.05"/>
    <n v="6"/>
    <n v="4043.62"/>
    <s v="Evan"/>
    <s v="Rodriguez"/>
    <x v="70"/>
    <s v="Female"/>
    <n v="0.21126760563380281"/>
    <n v="0.4"/>
    <n v="673.93666666666661"/>
    <n v="56.952394366197183"/>
    <x v="0"/>
  </r>
  <r>
    <x v="154"/>
    <x v="7"/>
    <n v="30"/>
    <n v="6"/>
    <n v="549.26"/>
    <n v="2"/>
    <n v="3868.36"/>
    <s v="Richard"/>
    <s v="Rodriguez"/>
    <x v="185"/>
    <s v="Female"/>
    <n v="0.2"/>
    <n v="0.33333333333333331"/>
    <n v="1934.18"/>
    <n v="128.94533333333334"/>
    <x v="0"/>
  </r>
  <r>
    <x v="154"/>
    <x v="7"/>
    <n v="83"/>
    <n v="15"/>
    <n v="601.05999999999995"/>
    <n v="3"/>
    <n v="350.62"/>
    <s v="Paul"/>
    <s v="Rodriguez"/>
    <x v="110"/>
    <s v="Male"/>
    <n v="0.18072289156626506"/>
    <n v="0.2"/>
    <n v="116.87333333333333"/>
    <n v="4.2243373493975902"/>
    <x v="0"/>
  </r>
  <r>
    <x v="154"/>
    <x v="7"/>
    <n v="35"/>
    <n v="6"/>
    <n v="192.19"/>
    <n v="1"/>
    <n v="3963.32"/>
    <s v="Ian"/>
    <s v="Martinez"/>
    <x v="114"/>
    <s v="Male"/>
    <n v="0.17142857142857143"/>
    <n v="0.16666666666666666"/>
    <n v="3963.32"/>
    <n v="113.23771428571429"/>
    <x v="1"/>
  </r>
  <r>
    <x v="154"/>
    <x v="7"/>
    <n v="22"/>
    <n v="9"/>
    <n v="211.28"/>
    <n v="8"/>
    <n v="772.77"/>
    <s v="James"/>
    <s v="Garcia"/>
    <x v="186"/>
    <s v="Male"/>
    <n v="0.40909090909090912"/>
    <n v="0.88888888888888884"/>
    <n v="96.596249999999998"/>
    <n v="35.12590909090909"/>
    <x v="0"/>
  </r>
  <r>
    <x v="155"/>
    <x v="7"/>
    <n v="64"/>
    <n v="14"/>
    <n v="156.77879609981451"/>
    <n v="36"/>
    <n v="912.11932996985365"/>
    <s v="Alice"/>
    <s v="Martinez"/>
    <x v="98"/>
    <s v="Male"/>
    <n v="0.21875"/>
    <n v="2.5714285714285716"/>
    <n v="25.336648054718157"/>
    <n v="14.251864530778963"/>
    <x v="0"/>
  </r>
  <r>
    <x v="156"/>
    <x v="7"/>
    <n v="75"/>
    <n v="77"/>
    <n v="435.7865977963998"/>
    <n v="26"/>
    <n v="4627.9110895800923"/>
    <s v="Alice"/>
    <s v="Smith"/>
    <x v="24"/>
    <s v="Female"/>
    <n v="1.0266666666666666"/>
    <n v="0.33766233766233766"/>
    <n v="177.99658036846509"/>
    <n v="61.70548119440123"/>
    <x v="0"/>
  </r>
  <r>
    <x v="157"/>
    <x v="7"/>
    <n v="91"/>
    <n v="15"/>
    <n v="360.15385045189657"/>
    <n v="32"/>
    <n v="1115.683839135326"/>
    <s v="Evan"/>
    <s v="Rodriguez"/>
    <x v="70"/>
    <s v="Male"/>
    <n v="0.16483516483516483"/>
    <n v="2.1333333333333333"/>
    <n v="34.865119972978938"/>
    <n v="12.260261968520066"/>
    <x v="0"/>
  </r>
  <r>
    <x v="158"/>
    <x v="7"/>
    <n v="62"/>
    <n v="56"/>
    <n v="486.15919586781968"/>
    <n v="3"/>
    <n v="4776.0680921936109"/>
    <s v="Chris"/>
    <s v="Rodriguez"/>
    <x v="42"/>
    <s v="Male"/>
    <n v="0.90322580645161288"/>
    <n v="5.3571428571428568E-2"/>
    <n v="1592.0226973978704"/>
    <n v="77.033356325703409"/>
    <x v="1"/>
  </r>
  <r>
    <x v="159"/>
    <x v="7"/>
    <n v="81"/>
    <n v="64"/>
    <n v="360.08175055599668"/>
    <n v="21"/>
    <n v="2507.0259783108008"/>
    <s v="Alice"/>
    <s v="Davis"/>
    <x v="140"/>
    <s v="Male"/>
    <n v="0.79012345679012341"/>
    <n v="0.328125"/>
    <n v="119.38218944337147"/>
    <n v="30.950938003837049"/>
    <x v="0"/>
  </r>
  <r>
    <x v="160"/>
    <x v="7"/>
    <n v="88"/>
    <n v="49"/>
    <n v="526.0907501592701"/>
    <n v="1"/>
    <n v="1333.0981797737879"/>
    <s v="Mimi"/>
    <s v="Smith"/>
    <x v="89"/>
    <s v="Male"/>
    <n v="0.55681818181818177"/>
    <n v="2.0408163265306121E-2"/>
    <n v="1333.0981797737879"/>
    <n v="15.148842951974864"/>
    <x v="1"/>
  </r>
  <r>
    <x v="161"/>
    <x v="7"/>
    <n v="98"/>
    <n v="61"/>
    <n v="375.95341938724277"/>
    <n v="9"/>
    <n v="2938.5542632026122"/>
    <s v="Chris"/>
    <s v="Johnson"/>
    <x v="30"/>
    <s v="Female"/>
    <n v="0.62244897959183676"/>
    <n v="0.14754098360655737"/>
    <n v="326.50602924473469"/>
    <n v="29.985247583700126"/>
    <x v="1"/>
  </r>
  <r>
    <x v="162"/>
    <x v="7"/>
    <n v="81"/>
    <n v="25"/>
    <n v="380.46898576769308"/>
    <n v="4"/>
    <n v="4428.2562614438384"/>
    <s v="Mimi"/>
    <s v="Brown"/>
    <x v="100"/>
    <s v="Male"/>
    <n v="0.30864197530864196"/>
    <n v="0.16"/>
    <n v="1107.0640653609596"/>
    <n v="54.669830388195535"/>
    <x v="1"/>
  </r>
  <r>
    <x v="163"/>
    <x v="7"/>
    <n v="53"/>
    <n v="22"/>
    <n v="538.32680132917244"/>
    <n v="9"/>
    <n v="3795.0119888430249"/>
    <s v="Jake"/>
    <s v="Davis"/>
    <x v="159"/>
    <s v="Male"/>
    <n v="0.41509433962264153"/>
    <n v="0.40909090909090912"/>
    <n v="421.6679987603361"/>
    <n v="71.603999789491041"/>
    <x v="0"/>
  </r>
  <r>
    <x v="164"/>
    <x v="7"/>
    <n v="79"/>
    <n v="39"/>
    <n v="301.74143310619849"/>
    <n v="32"/>
    <n v="4129.5251653765235"/>
    <s v="Jane"/>
    <s v="Davis"/>
    <x v="187"/>
    <s v="Female"/>
    <n v="0.49367088607594939"/>
    <n v="0.82051282051282048"/>
    <n v="129.04766141801636"/>
    <n v="52.272470447804096"/>
    <x v="0"/>
  </r>
  <r>
    <x v="165"/>
    <x v="7"/>
    <n v="86"/>
    <n v="28"/>
    <n v="167.0076142253204"/>
    <n v="37"/>
    <n v="3464.5251501982279"/>
    <s v="John"/>
    <s v="Johnson"/>
    <x v="72"/>
    <s v="Male"/>
    <n v="0.32558139534883723"/>
    <n v="1.3214285714285714"/>
    <n v="93.635814870222376"/>
    <n v="40.28517616509567"/>
    <x v="0"/>
  </r>
  <r>
    <x v="166"/>
    <x v="7"/>
    <n v="72"/>
    <n v="26"/>
    <n v="114.39133815666951"/>
    <n v="12"/>
    <n v="3615.2445403303359"/>
    <s v="Alice"/>
    <s v="Brown"/>
    <x v="43"/>
    <s v="Female"/>
    <n v="0.3611111111111111"/>
    <n v="0.46153846153846156"/>
    <n v="301.27037836086134"/>
    <n v="50.211729726810219"/>
    <x v="0"/>
  </r>
  <r>
    <x v="167"/>
    <x v="7"/>
    <n v="88"/>
    <n v="72"/>
    <n v="477.56862783680953"/>
    <n v="30"/>
    <n v="4321.3804320439367"/>
    <s v="Jane"/>
    <s v="Martinez"/>
    <x v="32"/>
    <s v="Female"/>
    <n v="0.81818181818181823"/>
    <n v="0.41666666666666669"/>
    <n v="144.04601440146456"/>
    <n v="49.1065958186811"/>
    <x v="0"/>
  </r>
  <r>
    <x v="168"/>
    <x v="7"/>
    <n v="94"/>
    <n v="28"/>
    <n v="410.15477567673241"/>
    <n v="35"/>
    <n v="1623.506039866337"/>
    <s v="Jake"/>
    <s v="Brown"/>
    <x v="99"/>
    <s v="Female"/>
    <n v="0.2978723404255319"/>
    <n v="1.25"/>
    <n v="46.385886853323917"/>
    <n v="17.271340849641884"/>
    <x v="0"/>
  </r>
  <r>
    <x v="169"/>
    <x v="7"/>
    <n v="64"/>
    <n v="67"/>
    <n v="452.03988404961183"/>
    <n v="23"/>
    <n v="2702.4123363941321"/>
    <s v="Anna"/>
    <s v="Martinez"/>
    <x v="143"/>
    <s v="Male"/>
    <n v="1.046875"/>
    <n v="0.34328358208955223"/>
    <n v="117.49618853887532"/>
    <n v="42.225192756158314"/>
    <x v="0"/>
  </r>
  <r>
    <x v="170"/>
    <x v="7"/>
    <n v="92"/>
    <n v="64"/>
    <n v="206.48208075445541"/>
    <n v="14"/>
    <n v="1495.4424881882101"/>
    <s v="Anna"/>
    <s v="Rodriguez"/>
    <x v="188"/>
    <s v="Female"/>
    <n v="0.69565217391304346"/>
    <n v="0.21875"/>
    <n v="106.81732058487215"/>
    <n v="16.254809654219674"/>
    <x v="0"/>
  </r>
  <r>
    <x v="171"/>
    <x v="7"/>
    <n v="78"/>
    <n v="71"/>
    <n v="168.1857377933849"/>
    <n v="28"/>
    <n v="4944.5060359849113"/>
    <s v="Jake"/>
    <s v="Williams"/>
    <x v="27"/>
    <s v="Female"/>
    <n v="0.91025641025641024"/>
    <n v="0.39436619718309857"/>
    <n v="176.5895012851754"/>
    <n v="63.391103025447578"/>
    <x v="0"/>
  </r>
  <r>
    <x v="172"/>
    <x v="7"/>
    <n v="85"/>
    <n v="32"/>
    <n v="107.27233283394099"/>
    <n v="7"/>
    <n v="4748.2670285897593"/>
    <s v="Mimi"/>
    <s v="Rodriguez"/>
    <x v="45"/>
    <s v="Male"/>
    <n v="0.37647058823529411"/>
    <n v="0.21875"/>
    <n v="678.32386122710852"/>
    <n v="55.861965042232463"/>
    <x v="0"/>
  </r>
  <r>
    <x v="173"/>
    <x v="7"/>
    <n v="62"/>
    <n v="18"/>
    <n v="275.29377940329852"/>
    <n v="4"/>
    <n v="677.42065115827654"/>
    <s v="Evan"/>
    <s v="Rodriguez"/>
    <x v="70"/>
    <s v="Female"/>
    <n v="0.29032258064516131"/>
    <n v="0.22222222222222221"/>
    <n v="169.35516278956914"/>
    <n v="10.926139534810911"/>
    <x v="0"/>
  </r>
  <r>
    <x v="174"/>
    <x v="7"/>
    <n v="81"/>
    <n v="21"/>
    <n v="394.95884342731648"/>
    <n v="28"/>
    <n v="3675.0882763205982"/>
    <s v="Evan"/>
    <s v="Williams"/>
    <x v="123"/>
    <s v="Female"/>
    <n v="0.25925925925925924"/>
    <n v="1.3333333333333333"/>
    <n v="131.25315272573565"/>
    <n v="45.371460201488865"/>
    <x v="0"/>
  </r>
  <r>
    <x v="175"/>
    <x v="7"/>
    <n v="56"/>
    <n v="10"/>
    <n v="296.12202254986619"/>
    <n v="3"/>
    <n v="4663.6174283704959"/>
    <s v="Mimi"/>
    <s v="Brown"/>
    <x v="100"/>
    <s v="Female"/>
    <n v="0.17857142857142858"/>
    <n v="0.3"/>
    <n v="1554.5391427901652"/>
    <n v="83.278882649473147"/>
    <x v="0"/>
  </r>
  <r>
    <x v="176"/>
    <x v="8"/>
    <n v="37"/>
    <n v="8"/>
    <n v="215.09"/>
    <n v="2"/>
    <n v="3424.83"/>
    <s v="Ian"/>
    <s v="Miller"/>
    <x v="12"/>
    <s v="Male"/>
    <n v="0.21621621621621623"/>
    <n v="0.25"/>
    <n v="1712.415"/>
    <n v="92.562972972972972"/>
    <x v="0"/>
  </r>
  <r>
    <x v="176"/>
    <x v="8"/>
    <n v="87"/>
    <n v="21"/>
    <n v="633.13"/>
    <n v="2"/>
    <n v="336.22"/>
    <s v="Paul"/>
    <s v="Martinez"/>
    <x v="25"/>
    <s v="Female"/>
    <n v="0.2413793103448276"/>
    <n v="9.5238095238095233E-2"/>
    <n v="168.11"/>
    <n v="3.8645977011494255"/>
    <x v="1"/>
  </r>
  <r>
    <x v="176"/>
    <x v="8"/>
    <n v="38"/>
    <n v="6"/>
    <n v="553.89"/>
    <n v="6"/>
    <n v="4013.79"/>
    <s v="Richard"/>
    <s v="Brown"/>
    <x v="163"/>
    <s v="Female"/>
    <n v="0.15789473684210525"/>
    <n v="1"/>
    <n v="668.96500000000003"/>
    <n v="105.62605263157894"/>
    <x v="0"/>
  </r>
  <r>
    <x v="176"/>
    <x v="8"/>
    <n v="22"/>
    <n v="7"/>
    <n v="182.47"/>
    <n v="7"/>
    <n v="779.86"/>
    <s v="James"/>
    <s v="Smith"/>
    <x v="139"/>
    <s v="Female"/>
    <n v="0.31818181818181818"/>
    <n v="1"/>
    <n v="111.40857142857143"/>
    <n v="35.448181818181816"/>
    <x v="0"/>
  </r>
  <r>
    <x v="176"/>
    <x v="8"/>
    <n v="57"/>
    <n v="7"/>
    <n v="262.27999999999997"/>
    <n v="7"/>
    <n v="3929.11"/>
    <s v="Charlie"/>
    <s v="Smith"/>
    <x v="189"/>
    <s v="Female"/>
    <n v="0.12280701754385964"/>
    <n v="1"/>
    <n v="561.30142857142857"/>
    <n v="68.931754385964908"/>
    <x v="0"/>
  </r>
  <r>
    <x v="176"/>
    <x v="8"/>
    <n v="26"/>
    <n v="21"/>
    <n v="359.51"/>
    <n v="9"/>
    <n v="1187.3699999999999"/>
    <s v="Molly"/>
    <s v="Williams"/>
    <x v="138"/>
    <s v="Male"/>
    <n v="0.80769230769230771"/>
    <n v="0.42857142857142855"/>
    <n v="131.92999999999998"/>
    <n v="45.668076923076917"/>
    <x v="0"/>
  </r>
  <r>
    <x v="176"/>
    <x v="8"/>
    <n v="71"/>
    <n v="8"/>
    <n v="199.19"/>
    <n v="2"/>
    <n v="635.24"/>
    <s v="Melissa"/>
    <s v="Garcia"/>
    <x v="166"/>
    <s v="Female"/>
    <n v="0.11267605633802817"/>
    <n v="0.25"/>
    <n v="317.62"/>
    <n v="8.9470422535211274"/>
    <x v="0"/>
  </r>
  <r>
    <x v="176"/>
    <x v="8"/>
    <n v="74"/>
    <n v="18"/>
    <n v="306.89999999999998"/>
    <n v="3"/>
    <n v="2254.16"/>
    <s v="Rick"/>
    <s v="Rodriguez"/>
    <x v="175"/>
    <s v="Female"/>
    <n v="0.24324324324324326"/>
    <n v="0.16666666666666666"/>
    <n v="751.38666666666666"/>
    <n v="30.461621621621621"/>
    <x v="1"/>
  </r>
  <r>
    <x v="176"/>
    <x v="8"/>
    <n v="76"/>
    <n v="18"/>
    <n v="339.1"/>
    <n v="8"/>
    <n v="924.79"/>
    <s v="Chris"/>
    <s v="Jones"/>
    <x v="57"/>
    <s v="Male"/>
    <n v="0.23684210526315788"/>
    <n v="0.44444444444444442"/>
    <n v="115.59875"/>
    <n v="12.16828947368421"/>
    <x v="0"/>
  </r>
  <r>
    <x v="176"/>
    <x v="8"/>
    <n v="81"/>
    <n v="5"/>
    <n v="153.5"/>
    <n v="2"/>
    <n v="1307.47"/>
    <s v="Alex"/>
    <s v="Miller"/>
    <x v="81"/>
    <s v="Female"/>
    <n v="6.1728395061728392E-2"/>
    <n v="0.4"/>
    <n v="653.73500000000001"/>
    <n v="16.141604938271605"/>
    <x v="0"/>
  </r>
  <r>
    <x v="176"/>
    <x v="8"/>
    <n v="72"/>
    <n v="11"/>
    <n v="459.86"/>
    <n v="0"/>
    <n v="1269.5999999999999"/>
    <s v="Vicky"/>
    <s v="Davis"/>
    <x v="63"/>
    <s v="Male"/>
    <n v="0.15277777777777779"/>
    <n v="0"/>
    <n v="0"/>
    <n v="17.633333333333333"/>
    <x v="1"/>
  </r>
  <r>
    <x v="176"/>
    <x v="8"/>
    <n v="21"/>
    <n v="17"/>
    <n v="533.41999999999996"/>
    <n v="7"/>
    <n v="3895.32"/>
    <s v="Darren"/>
    <s v="Johnson"/>
    <x v="62"/>
    <s v="Male"/>
    <n v="0.80952380952380953"/>
    <n v="0.41176470588235292"/>
    <n v="556.47428571428577"/>
    <n v="185.49142857142857"/>
    <x v="0"/>
  </r>
  <r>
    <x v="176"/>
    <x v="8"/>
    <n v="86"/>
    <n v="17"/>
    <n v="160.88999999999999"/>
    <n v="4"/>
    <n v="418.33"/>
    <s v="Will"/>
    <s v="Smith"/>
    <x v="113"/>
    <s v="Female"/>
    <n v="0.19767441860465115"/>
    <n v="0.23529411764705882"/>
    <n v="104.5825"/>
    <n v="4.8643023255813951"/>
    <x v="0"/>
  </r>
  <r>
    <x v="176"/>
    <x v="8"/>
    <n v="69"/>
    <n v="7"/>
    <n v="549.77"/>
    <n v="2"/>
    <n v="3916.58"/>
    <s v="Bob"/>
    <s v="Miller"/>
    <x v="176"/>
    <s v="Male"/>
    <n v="0.10144927536231885"/>
    <n v="0.2857142857142857"/>
    <n v="1958.29"/>
    <n v="56.762028985507243"/>
    <x v="0"/>
  </r>
  <r>
    <x v="176"/>
    <x v="8"/>
    <n v="18"/>
    <n v="13"/>
    <n v="290.14"/>
    <n v="2"/>
    <n v="1444.65"/>
    <s v="Grace"/>
    <s v="Brown"/>
    <x v="151"/>
    <s v="Female"/>
    <n v="0.72222222222222221"/>
    <n v="0.15384615384615385"/>
    <n v="722.32500000000005"/>
    <n v="80.25833333333334"/>
    <x v="1"/>
  </r>
  <r>
    <x v="176"/>
    <x v="8"/>
    <n v="105"/>
    <n v="7"/>
    <n v="587.83000000000004"/>
    <n v="1"/>
    <n v="3601.93"/>
    <s v="Emma"/>
    <s v="Jones"/>
    <x v="130"/>
    <s v="Male"/>
    <n v="6.6666666666666666E-2"/>
    <n v="0.14285714285714285"/>
    <n v="3601.93"/>
    <n v="34.304095238095236"/>
    <x v="1"/>
  </r>
  <r>
    <x v="176"/>
    <x v="8"/>
    <n v="75"/>
    <n v="8"/>
    <n v="177.88"/>
    <n v="7"/>
    <n v="507.1"/>
    <s v="Josh"/>
    <s v="Brown"/>
    <x v="129"/>
    <s v="Male"/>
    <n v="0.10666666666666667"/>
    <n v="0.875"/>
    <n v="72.44285714285715"/>
    <n v="6.7613333333333339"/>
    <x v="0"/>
  </r>
  <r>
    <x v="176"/>
    <x v="8"/>
    <n v="98"/>
    <n v="12"/>
    <n v="406.95"/>
    <n v="0"/>
    <n v="2978.09"/>
    <s v="Craig"/>
    <s v="Rodriguez"/>
    <x v="116"/>
    <s v="Male"/>
    <n v="0.12244897959183673"/>
    <n v="0"/>
    <n v="0"/>
    <n v="30.388673469387758"/>
    <x v="1"/>
  </r>
  <r>
    <x v="176"/>
    <x v="8"/>
    <n v="33"/>
    <n v="13"/>
    <n v="517.1"/>
    <n v="4"/>
    <n v="250.08"/>
    <s v="David"/>
    <s v="Williams"/>
    <x v="88"/>
    <s v="Male"/>
    <n v="0.39393939393939392"/>
    <n v="0.30769230769230771"/>
    <n v="62.52"/>
    <n v="7.5781818181818181"/>
    <x v="0"/>
  </r>
  <r>
    <x v="176"/>
    <x v="8"/>
    <n v="35"/>
    <n v="18"/>
    <n v="348.92"/>
    <n v="7"/>
    <n v="4381.3900000000003"/>
    <s v="Mimi"/>
    <s v="Smith"/>
    <x v="89"/>
    <s v="Male"/>
    <n v="0.51428571428571423"/>
    <n v="0.3888888888888889"/>
    <n v="625.91285714285721"/>
    <n v="125.18257142857144"/>
    <x v="0"/>
  </r>
  <r>
    <x v="176"/>
    <x v="8"/>
    <n v="93"/>
    <n v="5"/>
    <n v="77.12"/>
    <n v="2"/>
    <n v="3483.91"/>
    <s v="Karol"/>
    <s v="Jones"/>
    <x v="61"/>
    <s v="Male"/>
    <n v="5.3763440860215055E-2"/>
    <n v="0.4"/>
    <n v="1741.9549999999999"/>
    <n v="37.461397849462365"/>
    <x v="0"/>
  </r>
  <r>
    <x v="176"/>
    <x v="8"/>
    <n v="77"/>
    <n v="11"/>
    <n v="487.47"/>
    <n v="4"/>
    <n v="990.89"/>
    <s v="Liam"/>
    <s v="Davis"/>
    <x v="190"/>
    <s v="Female"/>
    <n v="0.14285714285714285"/>
    <n v="0.36363636363636365"/>
    <n v="247.7225"/>
    <n v="12.868701298701298"/>
    <x v="0"/>
  </r>
  <r>
    <x v="176"/>
    <x v="8"/>
    <n v="24"/>
    <n v="7"/>
    <n v="79.62"/>
    <n v="4"/>
    <n v="1650.69"/>
    <s v="Jake"/>
    <s v="Johnson"/>
    <x v="191"/>
    <s v="Female"/>
    <n v="0.29166666666666669"/>
    <n v="0.5714285714285714"/>
    <n v="412.67250000000001"/>
    <n v="68.778750000000002"/>
    <x v="0"/>
  </r>
  <r>
    <x v="176"/>
    <x v="8"/>
    <n v="79"/>
    <n v="9"/>
    <n v="358.67"/>
    <n v="5"/>
    <n v="3658.64"/>
    <s v="Alice"/>
    <s v="Davis"/>
    <x v="140"/>
    <s v="Male"/>
    <n v="0.11392405063291139"/>
    <n v="0.55555555555555558"/>
    <n v="731.72799999999995"/>
    <n v="46.311898734177213"/>
    <x v="0"/>
  </r>
  <r>
    <x v="176"/>
    <x v="8"/>
    <n v="51"/>
    <n v="15"/>
    <n v="349.71"/>
    <n v="8"/>
    <n v="4017.54"/>
    <s v="Evan"/>
    <s v="Johnson"/>
    <x v="34"/>
    <s v="Female"/>
    <n v="0.29411764705882354"/>
    <n v="0.53333333333333333"/>
    <n v="502.1925"/>
    <n v="78.775294117647064"/>
    <x v="0"/>
  </r>
  <r>
    <x v="176"/>
    <x v="8"/>
    <n v="57"/>
    <n v="18"/>
    <n v="403.41"/>
    <n v="3"/>
    <n v="3767.63"/>
    <s v="Diana"/>
    <s v="Miller"/>
    <x v="51"/>
    <s v="Female"/>
    <n v="0.31578947368421051"/>
    <n v="0.16666666666666666"/>
    <n v="1255.8766666666668"/>
    <n v="66.098771929824565"/>
    <x v="1"/>
  </r>
  <r>
    <x v="177"/>
    <x v="8"/>
    <n v="71"/>
    <n v="67"/>
    <n v="318.73746101186453"/>
    <n v="11"/>
    <n v="1312.589053073001"/>
    <s v="Anna"/>
    <s v="Davis"/>
    <x v="122"/>
    <s v="Female"/>
    <n v="0.94366197183098588"/>
    <n v="0.16417910447761194"/>
    <n v="119.326277552091"/>
    <n v="18.487169761591563"/>
    <x v="1"/>
  </r>
  <r>
    <x v="178"/>
    <x v="8"/>
    <n v="77"/>
    <n v="10"/>
    <n v="552.07934724687425"/>
    <n v="1"/>
    <n v="3055.753537486833"/>
    <s v="Anna"/>
    <s v="Brown"/>
    <x v="31"/>
    <s v="Female"/>
    <n v="0.12987012987012986"/>
    <n v="0.1"/>
    <n v="3055.753537486833"/>
    <n v="39.685110876452377"/>
    <x v="1"/>
  </r>
  <r>
    <x v="179"/>
    <x v="8"/>
    <n v="51"/>
    <n v="43"/>
    <n v="274.12773351165009"/>
    <n v="26"/>
    <n v="4619.6973391461879"/>
    <s v="Alice"/>
    <s v="Martinez"/>
    <x v="98"/>
    <s v="Male"/>
    <n v="0.84313725490196079"/>
    <n v="0.60465116279069764"/>
    <n v="177.680666890238"/>
    <n v="90.582300767572306"/>
    <x v="0"/>
  </r>
  <r>
    <x v="180"/>
    <x v="8"/>
    <n v="91"/>
    <n v="57"/>
    <n v="356.99474457990539"/>
    <n v="30"/>
    <n v="652.75690363609476"/>
    <s v="Anna"/>
    <s v="Johnson"/>
    <x v="95"/>
    <s v="Female"/>
    <n v="0.62637362637362637"/>
    <n v="0.52631578947368418"/>
    <n v="21.758563454536493"/>
    <n v="7.1731527872098324"/>
    <x v="0"/>
  </r>
  <r>
    <x v="181"/>
    <x v="8"/>
    <n v="94"/>
    <n v="10"/>
    <n v="491.82650637057162"/>
    <n v="35"/>
    <n v="3638.3912026107801"/>
    <s v="Jane"/>
    <s v="Martinez"/>
    <x v="32"/>
    <s v="Female"/>
    <n v="0.10638297872340426"/>
    <n v="3.5"/>
    <n v="103.954034360308"/>
    <n v="38.706289389476382"/>
    <x v="0"/>
  </r>
  <r>
    <x v="182"/>
    <x v="8"/>
    <n v="55"/>
    <n v="25"/>
    <n v="298.27139116063512"/>
    <n v="35"/>
    <n v="1838.070533176478"/>
    <s v="Anna"/>
    <s v="Johnson"/>
    <x v="95"/>
    <s v="Male"/>
    <n v="0.45454545454545453"/>
    <n v="1.4"/>
    <n v="52.516300947899367"/>
    <n v="33.419464239572328"/>
    <x v="0"/>
  </r>
  <r>
    <x v="183"/>
    <x v="8"/>
    <n v="77"/>
    <n v="70"/>
    <n v="411.04335011393681"/>
    <n v="25"/>
    <n v="4659.7828791943866"/>
    <s v="Chris"/>
    <s v="Rodriguez"/>
    <x v="42"/>
    <s v="Male"/>
    <n v="0.90909090909090906"/>
    <n v="0.35714285714285715"/>
    <n v="186.39131516777547"/>
    <n v="60.516660768758271"/>
    <x v="0"/>
  </r>
  <r>
    <x v="184"/>
    <x v="8"/>
    <n v="77"/>
    <n v="73"/>
    <n v="531.18185437337252"/>
    <n v="26"/>
    <n v="4869.7621032441548"/>
    <s v="Alice"/>
    <s v="Williams"/>
    <x v="142"/>
    <s v="Male"/>
    <n v="0.94805194805194803"/>
    <n v="0.35616438356164382"/>
    <n v="187.29854243246749"/>
    <n v="63.243663678495516"/>
    <x v="0"/>
  </r>
  <r>
    <x v="185"/>
    <x v="8"/>
    <n v="93"/>
    <n v="72"/>
    <n v="574.76031182882105"/>
    <n v="4"/>
    <n v="4749.1992010104523"/>
    <s v="John"/>
    <s v="Rodriguez"/>
    <x v="33"/>
    <s v="Female"/>
    <n v="0.77419354838709675"/>
    <n v="5.5555555555555552E-2"/>
    <n v="1187.2998002526131"/>
    <n v="51.066658075381206"/>
    <x v="1"/>
  </r>
  <r>
    <x v="186"/>
    <x v="8"/>
    <n v="93"/>
    <n v="78"/>
    <n v="173.536740464519"/>
    <n v="19"/>
    <n v="2633.9639749585872"/>
    <s v="Anna"/>
    <s v="Smith"/>
    <x v="173"/>
    <s v="Male"/>
    <n v="0.83870967741935487"/>
    <n v="0.24358974358974358"/>
    <n v="138.62968289255721"/>
    <n v="28.322193279124594"/>
    <x v="0"/>
  </r>
  <r>
    <x v="187"/>
    <x v="8"/>
    <n v="69"/>
    <n v="31"/>
    <n v="563.29381258074727"/>
    <n v="10"/>
    <n v="4379.1919294519103"/>
    <s v="Mimi"/>
    <s v="Brown"/>
    <x v="100"/>
    <s v="Female"/>
    <n v="0.44927536231884058"/>
    <n v="0.32258064516129031"/>
    <n v="437.91919294519101"/>
    <n v="63.466549702201597"/>
    <x v="0"/>
  </r>
  <r>
    <x v="188"/>
    <x v="8"/>
    <n v="79"/>
    <n v="76"/>
    <n v="346.0581465397691"/>
    <n v="9"/>
    <n v="4300.4722934078163"/>
    <s v="John"/>
    <s v="Johnson"/>
    <x v="72"/>
    <s v="Female"/>
    <n v="0.96202531645569622"/>
    <n v="0.11842105263157894"/>
    <n v="477.83025482309068"/>
    <n v="54.436358144402739"/>
    <x v="1"/>
  </r>
  <r>
    <x v="189"/>
    <x v="8"/>
    <n v="60"/>
    <n v="35"/>
    <n v="229.12219414947921"/>
    <n v="39"/>
    <n v="1935.9521295946499"/>
    <s v="Jane"/>
    <s v="Martinez"/>
    <x v="32"/>
    <s v="Male"/>
    <n v="0.58333333333333337"/>
    <n v="1.1142857142857143"/>
    <n v="49.639798194734617"/>
    <n v="32.265868826577496"/>
    <x v="0"/>
  </r>
  <r>
    <x v="190"/>
    <x v="8"/>
    <n v="77"/>
    <n v="25"/>
    <n v="329.56787811913068"/>
    <n v="37"/>
    <n v="4230.1196336780486"/>
    <s v="Mimi"/>
    <s v="Williams"/>
    <x v="1"/>
    <s v="Male"/>
    <n v="0.32467532467532467"/>
    <n v="1.48"/>
    <n v="114.32755766697429"/>
    <n v="54.936618619195436"/>
    <x v="0"/>
  </r>
  <r>
    <x v="191"/>
    <x v="8"/>
    <n v="74"/>
    <n v="60"/>
    <n v="590.01628764273846"/>
    <n v="5"/>
    <n v="666.53435621971676"/>
    <s v="John"/>
    <s v="Johnson"/>
    <x v="72"/>
    <s v="Female"/>
    <n v="0.81081081081081086"/>
    <n v="8.3333333333333329E-2"/>
    <n v="133.30687124394336"/>
    <n v="9.0072210299961721"/>
    <x v="1"/>
  </r>
  <r>
    <x v="192"/>
    <x v="8"/>
    <n v="88"/>
    <n v="66"/>
    <n v="346.3090469964348"/>
    <n v="7"/>
    <n v="3183.2144531692388"/>
    <s v="Mimi"/>
    <s v="Martinez"/>
    <x v="118"/>
    <s v="Male"/>
    <n v="0.75"/>
    <n v="0.10606060606060606"/>
    <n v="454.74492188131984"/>
    <n v="36.172891513286807"/>
    <x v="1"/>
  </r>
  <r>
    <x v="193"/>
    <x v="8"/>
    <n v="82"/>
    <n v="38"/>
    <n v="264.37580514375412"/>
    <n v="22"/>
    <n v="1535.0397677946639"/>
    <s v="Jane"/>
    <s v="Brown"/>
    <x v="75"/>
    <s v="Female"/>
    <n v="0.46341463414634149"/>
    <n v="0.57894736842105265"/>
    <n v="69.774534899757455"/>
    <n v="18.719997168227607"/>
    <x v="0"/>
  </r>
  <r>
    <x v="194"/>
    <x v="8"/>
    <n v="50"/>
    <n v="78"/>
    <n v="416.70042715836291"/>
    <n v="25"/>
    <n v="1042.5509859977551"/>
    <s v="Alice"/>
    <s v="Rodriguez"/>
    <x v="97"/>
    <s v="Male"/>
    <n v="1.56"/>
    <n v="0.32051282051282054"/>
    <n v="41.702039439910202"/>
    <n v="20.851019719955101"/>
    <x v="0"/>
  </r>
  <r>
    <x v="195"/>
    <x v="8"/>
    <n v="76"/>
    <n v="56"/>
    <n v="220.07280938909651"/>
    <n v="11"/>
    <n v="846.28940733144123"/>
    <s v="Chris"/>
    <s v="Brown"/>
    <x v="86"/>
    <s v="Male"/>
    <n v="0.73684210526315785"/>
    <n v="0.19642857142857142"/>
    <n v="76.935400666494658"/>
    <n v="11.135386938571594"/>
    <x v="1"/>
  </r>
  <r>
    <x v="196"/>
    <x v="8"/>
    <n v="62"/>
    <n v="71"/>
    <n v="137.931664054332"/>
    <n v="25"/>
    <n v="3633.2994914516289"/>
    <s v="Jane"/>
    <s v="Garcia"/>
    <x v="124"/>
    <s v="Male"/>
    <n v="1.1451612903225807"/>
    <n v="0.352112676056338"/>
    <n v="145.33197965806517"/>
    <n v="58.601604700832723"/>
    <x v="0"/>
  </r>
  <r>
    <x v="197"/>
    <x v="8"/>
    <n v="90"/>
    <n v="78"/>
    <n v="164.4398609553246"/>
    <n v="12"/>
    <n v="2029.4373369562979"/>
    <s v="Jane"/>
    <s v="Smith"/>
    <x v="38"/>
    <s v="Female"/>
    <n v="0.8666666666666667"/>
    <n v="0.15384615384615385"/>
    <n v="169.11977807969149"/>
    <n v="22.549303743958866"/>
    <x v="1"/>
  </r>
  <r>
    <x v="198"/>
    <x v="9"/>
    <n v="32"/>
    <n v="16"/>
    <n v="393.04"/>
    <n v="7"/>
    <n v="1286.18"/>
    <s v="Molly"/>
    <s v="Johnson"/>
    <x v="184"/>
    <s v="Female"/>
    <n v="0.5"/>
    <n v="0.4375"/>
    <n v="183.74"/>
    <n v="40.193125000000002"/>
    <x v="0"/>
  </r>
  <r>
    <x v="198"/>
    <x v="9"/>
    <n v="51"/>
    <n v="7"/>
    <n v="248.37"/>
    <n v="7"/>
    <n v="3946.23"/>
    <s v="Charlie"/>
    <s v="Brown"/>
    <x v="192"/>
    <s v="Male"/>
    <n v="0.13725490196078433"/>
    <n v="1"/>
    <n v="563.74714285714288"/>
    <n v="77.37705882352941"/>
    <x v="0"/>
  </r>
  <r>
    <x v="198"/>
    <x v="9"/>
    <n v="70"/>
    <n v="21"/>
    <n v="319.62"/>
    <n v="3"/>
    <n v="2486.2199999999998"/>
    <s v="Rick"/>
    <s v="Johnson"/>
    <x v="193"/>
    <s v="Female"/>
    <n v="0.3"/>
    <n v="0.14285714285714285"/>
    <n v="828.7399999999999"/>
    <n v="35.517428571428567"/>
    <x v="1"/>
  </r>
  <r>
    <x v="198"/>
    <x v="9"/>
    <n v="62"/>
    <n v="8"/>
    <n v="540.79999999999995"/>
    <n v="3"/>
    <n v="3928.71"/>
    <s v="Bob"/>
    <s v="Smith"/>
    <x v="103"/>
    <s v="Male"/>
    <n v="0.12903225806451613"/>
    <n v="0.375"/>
    <n v="1309.57"/>
    <n v="63.366290322580646"/>
    <x v="0"/>
  </r>
  <r>
    <x v="198"/>
    <x v="9"/>
    <n v="71"/>
    <n v="16"/>
    <n v="323.56"/>
    <n v="9"/>
    <n v="957.05"/>
    <s v="Chris"/>
    <s v="Williams"/>
    <x v="73"/>
    <s v="Male"/>
    <n v="0.22535211267605634"/>
    <n v="0.5625"/>
    <n v="106.33888888888889"/>
    <n v="13.479577464788731"/>
    <x v="0"/>
  </r>
  <r>
    <x v="198"/>
    <x v="9"/>
    <n v="22"/>
    <n v="7"/>
    <n v="74.680000000000007"/>
    <n v="4"/>
    <n v="1543.72"/>
    <s v="Jake"/>
    <s v="Smith"/>
    <x v="67"/>
    <s v="Female"/>
    <n v="0.31818181818181818"/>
    <n v="0.5714285714285714"/>
    <n v="385.93"/>
    <n v="70.169090909090912"/>
    <x v="0"/>
  </r>
  <r>
    <x v="198"/>
    <x v="9"/>
    <n v="58"/>
    <n v="13"/>
    <n v="368.06"/>
    <n v="2"/>
    <n v="3626.22"/>
    <s v="Diana"/>
    <s v="Williams"/>
    <x v="94"/>
    <s v="Male"/>
    <n v="0.22413793103448276"/>
    <n v="0.15384615384615385"/>
    <n v="1813.11"/>
    <n v="62.521034482758616"/>
    <x v="1"/>
  </r>
  <r>
    <x v="198"/>
    <x v="9"/>
    <n v="74"/>
    <n v="16"/>
    <n v="308.51"/>
    <n v="7"/>
    <n v="4267.5"/>
    <s v="Evan"/>
    <s v="Jones"/>
    <x v="107"/>
    <s v="Male"/>
    <n v="0.21621621621621623"/>
    <n v="0.4375"/>
    <n v="609.64285714285711"/>
    <n v="57.668918918918919"/>
    <x v="0"/>
  </r>
  <r>
    <x v="198"/>
    <x v="9"/>
    <n v="74"/>
    <n v="15"/>
    <n v="460.2"/>
    <n v="4"/>
    <n v="980.1"/>
    <s v="Liam"/>
    <s v="Davis"/>
    <x v="190"/>
    <s v="Male"/>
    <n v="0.20270270270270271"/>
    <n v="0.26666666666666666"/>
    <n v="245.02500000000001"/>
    <n v="13.244594594594595"/>
    <x v="0"/>
  </r>
  <r>
    <x v="198"/>
    <x v="9"/>
    <n v="17"/>
    <n v="7"/>
    <n v="205.3"/>
    <n v="4"/>
    <n v="762.2"/>
    <s v="James"/>
    <s v="Davis"/>
    <x v="194"/>
    <s v="Female"/>
    <n v="0.41176470588235292"/>
    <n v="0.5714285714285714"/>
    <n v="190.55"/>
    <n v="44.835294117647059"/>
    <x v="0"/>
  </r>
  <r>
    <x v="198"/>
    <x v="9"/>
    <n v="34"/>
    <n v="12"/>
    <n v="356.4"/>
    <n v="8"/>
    <n v="4111.76"/>
    <s v="Mimi"/>
    <s v="Rodriguez"/>
    <x v="45"/>
    <s v="Female"/>
    <n v="0.35294117647058826"/>
    <n v="0.66666666666666663"/>
    <n v="513.97"/>
    <n v="120.93411764705883"/>
    <x v="0"/>
  </r>
  <r>
    <x v="198"/>
    <x v="9"/>
    <n v="73"/>
    <n v="17"/>
    <n v="557.29999999999995"/>
    <n v="3"/>
    <n v="376.66"/>
    <s v="Paul"/>
    <s v="Smith"/>
    <x v="195"/>
    <s v="Female"/>
    <n v="0.23287671232876711"/>
    <n v="0.17647058823529413"/>
    <n v="125.55333333333334"/>
    <n v="5.1597260273972605"/>
    <x v="1"/>
  </r>
  <r>
    <x v="198"/>
    <x v="9"/>
    <n v="35"/>
    <n v="6"/>
    <n v="544.78"/>
    <n v="5"/>
    <n v="3420.99"/>
    <s v="Richard"/>
    <s v="Williams"/>
    <x v="79"/>
    <s v="Female"/>
    <n v="0.17142857142857143"/>
    <n v="0.83333333333333337"/>
    <n v="684.19799999999998"/>
    <n v="97.742571428571424"/>
    <x v="0"/>
  </r>
  <r>
    <x v="198"/>
    <x v="9"/>
    <n v="36"/>
    <n v="10"/>
    <n v="535.44000000000005"/>
    <n v="4"/>
    <n v="241.26"/>
    <s v="David"/>
    <s v="Garcia"/>
    <x v="196"/>
    <s v="Male"/>
    <n v="0.27777777777777779"/>
    <n v="0.4"/>
    <n v="60.314999999999998"/>
    <n v="6.7016666666666662"/>
    <x v="0"/>
  </r>
  <r>
    <x v="198"/>
    <x v="9"/>
    <n v="85"/>
    <n v="15"/>
    <n v="400.65"/>
    <n v="0"/>
    <n v="2890.62"/>
    <s v="Craig"/>
    <s v="Martinez"/>
    <x v="2"/>
    <s v="Male"/>
    <n v="0.17647058823529413"/>
    <n v="0"/>
    <n v="0"/>
    <n v="34.007294117647056"/>
    <x v="1"/>
  </r>
  <r>
    <x v="198"/>
    <x v="9"/>
    <n v="63"/>
    <n v="10"/>
    <n v="194.21"/>
    <n v="7"/>
    <n v="508.84"/>
    <s v="Josh"/>
    <s v="Williams"/>
    <x v="197"/>
    <s v="Male"/>
    <n v="0.15873015873015872"/>
    <n v="0.7"/>
    <n v="72.691428571428574"/>
    <n v="8.0768253968253969"/>
    <x v="0"/>
  </r>
  <r>
    <x v="198"/>
    <x v="9"/>
    <n v="108"/>
    <n v="6"/>
    <n v="515.27"/>
    <n v="2"/>
    <n v="3183.87"/>
    <s v="Emma"/>
    <s v="Miller"/>
    <x v="65"/>
    <s v="Female"/>
    <n v="5.5555555555555552E-2"/>
    <n v="0.33333333333333331"/>
    <n v="1591.9349999999999"/>
    <n v="29.480277777777776"/>
    <x v="0"/>
  </r>
  <r>
    <x v="198"/>
    <x v="9"/>
    <n v="21"/>
    <n v="15"/>
    <n v="309.75"/>
    <n v="2"/>
    <n v="1649.09"/>
    <s v="Grace"/>
    <s v="Williams"/>
    <x v="198"/>
    <s v="Male"/>
    <n v="0.7142857142857143"/>
    <n v="0.13333333333333333"/>
    <n v="824.54499999999996"/>
    <n v="78.528095238095233"/>
    <x v="1"/>
  </r>
  <r>
    <x v="198"/>
    <x v="9"/>
    <n v="72"/>
    <n v="10"/>
    <n v="362.58"/>
    <n v="5"/>
    <n v="3679.65"/>
    <s v="Alice"/>
    <s v="Jones"/>
    <x v="199"/>
    <s v="Male"/>
    <n v="0.1388888888888889"/>
    <n v="0.5"/>
    <n v="735.93000000000006"/>
    <n v="51.106250000000003"/>
    <x v="0"/>
  </r>
  <r>
    <x v="198"/>
    <x v="9"/>
    <n v="104"/>
    <n v="20"/>
    <n v="181.9"/>
    <n v="4"/>
    <n v="400.92"/>
    <s v="Will"/>
    <s v="Davis"/>
    <x v="168"/>
    <s v="Female"/>
    <n v="0.19230769230769232"/>
    <n v="0.2"/>
    <n v="100.23"/>
    <n v="3.855"/>
    <x v="0"/>
  </r>
  <r>
    <x v="198"/>
    <x v="9"/>
    <n v="21"/>
    <n v="14"/>
    <n v="537.36"/>
    <n v="7"/>
    <n v="3767.78"/>
    <s v="Darren"/>
    <s v="Jones"/>
    <x v="179"/>
    <s v="Female"/>
    <n v="0.66666666666666663"/>
    <n v="0.5"/>
    <n v="538.25428571428574"/>
    <n v="179.41809523809525"/>
    <x v="0"/>
  </r>
  <r>
    <x v="198"/>
    <x v="9"/>
    <n v="102"/>
    <n v="5"/>
    <n v="86.37"/>
    <n v="5"/>
    <n v="3851.19"/>
    <s v="Karol"/>
    <s v="Miller"/>
    <x v="200"/>
    <s v="Female"/>
    <n v="4.9019607843137254E-2"/>
    <n v="1"/>
    <n v="770.23800000000006"/>
    <n v="37.756764705882354"/>
    <x v="0"/>
  </r>
  <r>
    <x v="198"/>
    <x v="9"/>
    <n v="106"/>
    <n v="5"/>
    <n v="163.38"/>
    <n v="1"/>
    <n v="1148.1400000000001"/>
    <s v="Alex"/>
    <s v="Martinez"/>
    <x v="201"/>
    <s v="Female"/>
    <n v="4.716981132075472E-2"/>
    <n v="0.2"/>
    <n v="1148.1400000000001"/>
    <n v="10.831509433962266"/>
    <x v="0"/>
  </r>
  <r>
    <x v="198"/>
    <x v="9"/>
    <n v="49"/>
    <n v="7"/>
    <n v="204.14"/>
    <n v="3"/>
    <n v="636.65"/>
    <s v="Melissa"/>
    <s v="Rodriguez"/>
    <x v="202"/>
    <s v="Male"/>
    <n v="0.14285714285714285"/>
    <n v="0.42857142857142855"/>
    <n v="212.21666666666667"/>
    <n v="12.992857142857142"/>
    <x v="0"/>
  </r>
  <r>
    <x v="198"/>
    <x v="9"/>
    <n v="64"/>
    <n v="15"/>
    <n v="514.38"/>
    <n v="0"/>
    <n v="1220.5899999999999"/>
    <s v="Vicky"/>
    <s v="Jones"/>
    <x v="6"/>
    <s v="Male"/>
    <n v="0.234375"/>
    <n v="0"/>
    <n v="0"/>
    <n v="19.071718749999999"/>
    <x v="1"/>
  </r>
  <r>
    <x v="198"/>
    <x v="9"/>
    <n v="27"/>
    <n v="6"/>
    <n v="202.37"/>
    <n v="1"/>
    <n v="3781.81"/>
    <s v="Ian"/>
    <s v="Brown"/>
    <x v="161"/>
    <s v="Male"/>
    <n v="0.22222222222222221"/>
    <n v="0.16666666666666666"/>
    <n v="3781.81"/>
    <n v="140.06703703703704"/>
    <x v="1"/>
  </r>
  <r>
    <x v="199"/>
    <x v="9"/>
    <n v="52"/>
    <n v="25"/>
    <n v="164.02291947888619"/>
    <n v="39"/>
    <n v="3761.450471879426"/>
    <s v="Mimi"/>
    <s v="Garcia"/>
    <x v="170"/>
    <s v="Male"/>
    <n v="0.48076923076923078"/>
    <n v="1.56"/>
    <n v="96.447447996908366"/>
    <n v="72.335585997681264"/>
    <x v="0"/>
  </r>
  <r>
    <x v="200"/>
    <x v="9"/>
    <n v="88"/>
    <n v="57"/>
    <n v="175.95134675614719"/>
    <n v="17"/>
    <n v="794.10353359524061"/>
    <s v="Alice"/>
    <s v="Williams"/>
    <x v="142"/>
    <s v="Female"/>
    <n v="0.64772727272727271"/>
    <n v="0.2982456140350877"/>
    <n v="46.71197256442592"/>
    <n v="9.023903790855007"/>
    <x v="0"/>
  </r>
  <r>
    <x v="201"/>
    <x v="9"/>
    <n v="55"/>
    <n v="48"/>
    <n v="169.41358632470511"/>
    <n v="24"/>
    <n v="1918.806520237747"/>
    <s v="Jake"/>
    <s v="Johnson"/>
    <x v="191"/>
    <s v="Female"/>
    <n v="0.87272727272727268"/>
    <n v="0.5"/>
    <n v="79.950271676572797"/>
    <n v="34.887391277049943"/>
    <x v="0"/>
  </r>
  <r>
    <x v="202"/>
    <x v="9"/>
    <n v="57"/>
    <n v="42"/>
    <n v="420.43737240160732"/>
    <n v="32"/>
    <n v="2927.7108156890181"/>
    <s v="Evan"/>
    <s v="Williams"/>
    <x v="123"/>
    <s v="Female"/>
    <n v="0.73684210526315785"/>
    <n v="0.76190476190476186"/>
    <n v="91.490962990281815"/>
    <n v="51.363347643666984"/>
    <x v="0"/>
  </r>
  <r>
    <x v="203"/>
    <x v="9"/>
    <n v="76"/>
    <n v="32"/>
    <n v="190.94004219957239"/>
    <n v="39"/>
    <n v="4058.2542417753361"/>
    <s v="Anna"/>
    <s v="Rodriguez"/>
    <x v="188"/>
    <s v="Female"/>
    <n v="0.42105263157894735"/>
    <n v="1.21875"/>
    <n v="104.05780107116246"/>
    <n v="53.398082128622846"/>
    <x v="0"/>
  </r>
  <r>
    <x v="204"/>
    <x v="9"/>
    <n v="58"/>
    <n v="19"/>
    <n v="272.83364166193161"/>
    <n v="11"/>
    <n v="1934.386263194315"/>
    <s v="Anna"/>
    <s v="Martinez"/>
    <x v="143"/>
    <s v="Male"/>
    <n v="0.32758620689655171"/>
    <n v="0.57894736842105265"/>
    <n v="175.85329665402864"/>
    <n v="33.351487296453705"/>
    <x v="0"/>
  </r>
  <r>
    <x v="205"/>
    <x v="9"/>
    <n v="86"/>
    <n v="78"/>
    <n v="548.3942049530059"/>
    <n v="35"/>
    <n v="3316.5111939665412"/>
    <s v="Chris"/>
    <s v="Brown"/>
    <x v="86"/>
    <s v="Female"/>
    <n v="0.90697674418604646"/>
    <n v="0.44871794871794873"/>
    <n v="94.757462684758323"/>
    <n v="38.564083650773732"/>
    <x v="0"/>
  </r>
  <r>
    <x v="206"/>
    <x v="9"/>
    <n v="82"/>
    <n v="43"/>
    <n v="336.98082013143619"/>
    <n v="3"/>
    <n v="4486.8998670628434"/>
    <s v="Chris"/>
    <s v="Garcia"/>
    <x v="35"/>
    <s v="Female"/>
    <n v="0.52439024390243905"/>
    <n v="6.9767441860465115E-2"/>
    <n v="1495.6332890209478"/>
    <n v="54.718291061741994"/>
    <x v="1"/>
  </r>
  <r>
    <x v="207"/>
    <x v="9"/>
    <n v="91"/>
    <n v="61"/>
    <n v="433.7788692605136"/>
    <n v="4"/>
    <n v="3271.38434682037"/>
    <s v="Anna"/>
    <s v="Davis"/>
    <x v="122"/>
    <s v="Male"/>
    <n v="0.67032967032967028"/>
    <n v="6.5573770491803282E-2"/>
    <n v="817.84608670509249"/>
    <n v="35.949278536487583"/>
    <x v="1"/>
  </r>
  <r>
    <x v="208"/>
    <x v="9"/>
    <n v="93"/>
    <n v="19"/>
    <n v="186.15993560081489"/>
    <n v="36"/>
    <n v="1548.3176363913519"/>
    <s v="Evan"/>
    <s v="Garcia"/>
    <x v="0"/>
    <s v="Female"/>
    <n v="0.20430107526881722"/>
    <n v="1.8947368421052631"/>
    <n v="43.008823233093111"/>
    <n v="16.648576735390883"/>
    <x v="0"/>
  </r>
  <r>
    <x v="209"/>
    <x v="9"/>
    <n v="73"/>
    <n v="28"/>
    <n v="196.14450940433539"/>
    <n v="7"/>
    <n v="609.80351700442111"/>
    <s v="Anna"/>
    <s v="Rodriguez"/>
    <x v="188"/>
    <s v="Male"/>
    <n v="0.38356164383561642"/>
    <n v="0.25"/>
    <n v="87.114788143488724"/>
    <n v="8.3534728356770014"/>
    <x v="0"/>
  </r>
  <r>
    <x v="210"/>
    <x v="9"/>
    <n v="64"/>
    <n v="67"/>
    <n v="120.4343081332394"/>
    <n v="27"/>
    <n v="4415.4449325541846"/>
    <s v="Jake"/>
    <s v="Garcia"/>
    <x v="26"/>
    <s v="Female"/>
    <n v="1.046875"/>
    <n v="0.40298507462686567"/>
    <n v="163.53499750200683"/>
    <n v="68.991327071159134"/>
    <x v="0"/>
  </r>
  <r>
    <x v="211"/>
    <x v="9"/>
    <n v="81"/>
    <n v="10"/>
    <n v="184.4675315360823"/>
    <n v="30"/>
    <n v="595.71234882674207"/>
    <s v="Evan"/>
    <s v="Rodriguez"/>
    <x v="70"/>
    <s v="Male"/>
    <n v="0.12345679012345678"/>
    <n v="3"/>
    <n v="19.857078294224735"/>
    <n v="7.3544734423054576"/>
    <x v="0"/>
  </r>
  <r>
    <x v="212"/>
    <x v="9"/>
    <n v="81"/>
    <n v="78"/>
    <n v="239.2951695159793"/>
    <n v="8"/>
    <n v="4436.1575270788971"/>
    <s v="Chris"/>
    <s v="Davis"/>
    <x v="37"/>
    <s v="Female"/>
    <n v="0.96296296296296291"/>
    <n v="0.10256410256410256"/>
    <n v="554.51969088486214"/>
    <n v="54.76737687751725"/>
    <x v="1"/>
  </r>
  <r>
    <x v="213"/>
    <x v="9"/>
    <n v="73"/>
    <n v="13"/>
    <n v="188.5052421383734"/>
    <n v="28"/>
    <n v="2880.2171031224539"/>
    <s v="John"/>
    <s v="Williams"/>
    <x v="28"/>
    <s v="Male"/>
    <n v="0.17808219178082191"/>
    <n v="2.1538461538461537"/>
    <n v="102.86489654008764"/>
    <n v="39.455028809896625"/>
    <x v="0"/>
  </r>
  <r>
    <x v="214"/>
    <x v="9"/>
    <n v="90"/>
    <n v="25"/>
    <n v="144.35126687852781"/>
    <n v="13"/>
    <n v="4725.8046433080326"/>
    <s v="Mimi"/>
    <s v="Brown"/>
    <x v="100"/>
    <s v="Female"/>
    <n v="0.27777777777777779"/>
    <n v="0.52"/>
    <n v="363.52343410061792"/>
    <n v="52.508940481200362"/>
    <x v="0"/>
  </r>
  <r>
    <x v="215"/>
    <x v="9"/>
    <n v="98"/>
    <n v="33"/>
    <n v="160.3179355503004"/>
    <n v="39"/>
    <n v="4094.5245609814938"/>
    <s v="Jake"/>
    <s v="Johnson"/>
    <x v="191"/>
    <s v="Female"/>
    <n v="0.33673469387755101"/>
    <n v="1.1818181818181819"/>
    <n v="104.98780925593574"/>
    <n v="41.780862867158099"/>
    <x v="0"/>
  </r>
  <r>
    <x v="216"/>
    <x v="9"/>
    <n v="98"/>
    <n v="11"/>
    <n v="330.3893840163629"/>
    <n v="21"/>
    <n v="4990.7034974000189"/>
    <s v="Jake"/>
    <s v="Martinez"/>
    <x v="96"/>
    <s v="Male"/>
    <n v="0.11224489795918367"/>
    <n v="1.9090909090909092"/>
    <n v="237.65254749523899"/>
    <n v="50.925545891836926"/>
    <x v="0"/>
  </r>
  <r>
    <x v="217"/>
    <x v="9"/>
    <n v="61"/>
    <n v="41"/>
    <n v="203.16685920289629"/>
    <n v="10"/>
    <n v="2078.2031695326959"/>
    <s v="Alice"/>
    <s v="Johnson"/>
    <x v="41"/>
    <s v="Male"/>
    <n v="0.67213114754098358"/>
    <n v="0.24390243902439024"/>
    <n v="207.82031695326958"/>
    <n v="34.068904418568785"/>
    <x v="0"/>
  </r>
  <r>
    <x v="218"/>
    <x v="9"/>
    <n v="88"/>
    <n v="33"/>
    <n v="282.13493052403771"/>
    <n v="22"/>
    <n v="3952.3473001900711"/>
    <s v="Chris"/>
    <s v="Williams"/>
    <x v="73"/>
    <s v="Male"/>
    <n v="0.375"/>
    <n v="0.66666666666666663"/>
    <n v="179.65215000863961"/>
    <n v="44.913037502159902"/>
    <x v="0"/>
  </r>
  <r>
    <x v="219"/>
    <x v="9"/>
    <n v="51"/>
    <n v="21"/>
    <n v="351.70863542742848"/>
    <n v="0"/>
    <n v="2308.6891112415901"/>
    <s v="Chris"/>
    <s v="Martinez"/>
    <x v="71"/>
    <s v="Male"/>
    <n v="0.41176470588235292"/>
    <n v="0"/>
    <n v="0"/>
    <n v="45.26841394591353"/>
    <x v="1"/>
  </r>
  <r>
    <x v="220"/>
    <x v="9"/>
    <n v="52"/>
    <n v="59"/>
    <n v="445.19741431468259"/>
    <n v="36"/>
    <n v="2659.4402913675899"/>
    <s v="Jane"/>
    <s v="Garcia"/>
    <x v="124"/>
    <s v="Female"/>
    <n v="1.1346153846153846"/>
    <n v="0.61016949152542377"/>
    <n v="73.873341426877502"/>
    <n v="51.143082526299807"/>
    <x v="0"/>
  </r>
  <r>
    <x v="221"/>
    <x v="10"/>
    <n v="73"/>
    <n v="8"/>
    <n v="182.48"/>
    <n v="8"/>
    <n v="548.46"/>
    <s v="Josh"/>
    <s v="Jones"/>
    <x v="48"/>
    <s v="Female"/>
    <n v="0.1095890410958904"/>
    <n v="1"/>
    <n v="68.557500000000005"/>
    <n v="7.5131506849315075"/>
    <x v="0"/>
  </r>
  <r>
    <x v="221"/>
    <x v="10"/>
    <n v="77"/>
    <n v="16"/>
    <n v="502.41"/>
    <n v="5"/>
    <n v="1093.75"/>
    <s v="Liam"/>
    <s v="Brown"/>
    <x v="136"/>
    <s v="Female"/>
    <n v="0.20779220779220781"/>
    <n v="0.3125"/>
    <n v="218.75"/>
    <n v="14.204545454545455"/>
    <x v="0"/>
  </r>
  <r>
    <x v="221"/>
    <x v="10"/>
    <n v="22"/>
    <n v="6"/>
    <n v="80.02"/>
    <n v="3"/>
    <n v="1476.69"/>
    <s v="Jake"/>
    <s v="Williams"/>
    <x v="27"/>
    <s v="Male"/>
    <n v="0.27272727272727271"/>
    <n v="0.5"/>
    <n v="492.23"/>
    <n v="67.12227272727273"/>
    <x v="0"/>
  </r>
  <r>
    <x v="221"/>
    <x v="10"/>
    <n v="41"/>
    <n v="13"/>
    <n v="370.44"/>
    <n v="9"/>
    <n v="4484.96"/>
    <s v="Mimi"/>
    <s v="Martinez"/>
    <x v="118"/>
    <s v="Male"/>
    <n v="0.31707317073170732"/>
    <n v="0.69230769230769229"/>
    <n v="498.32888888888891"/>
    <n v="109.38926829268293"/>
    <x v="0"/>
  </r>
  <r>
    <x v="221"/>
    <x v="10"/>
    <n v="28"/>
    <n v="12"/>
    <n v="565.51"/>
    <n v="4"/>
    <n v="231.16"/>
    <s v="David"/>
    <s v="Miller"/>
    <x v="203"/>
    <s v="Female"/>
    <n v="0.42857142857142855"/>
    <n v="0.33333333333333331"/>
    <n v="57.79"/>
    <n v="8.2557142857142853"/>
    <x v="0"/>
  </r>
  <r>
    <x v="221"/>
    <x v="10"/>
    <n v="97"/>
    <n v="14"/>
    <n v="368.16"/>
    <n v="0"/>
    <n v="3020.19"/>
    <s v="Craig"/>
    <s v="Smith"/>
    <x v="204"/>
    <s v="Female"/>
    <n v="0.14432989690721648"/>
    <n v="0"/>
    <n v="0"/>
    <n v="31.135979381443299"/>
    <x v="1"/>
  </r>
  <r>
    <x v="221"/>
    <x v="10"/>
    <n v="87"/>
    <n v="5"/>
    <n v="601.28"/>
    <n v="2"/>
    <n v="3491.19"/>
    <s v="Emma"/>
    <s v="Miller"/>
    <x v="65"/>
    <s v="Male"/>
    <n v="5.7471264367816091E-2"/>
    <n v="0.4"/>
    <n v="1745.595"/>
    <n v="40.128620689655172"/>
    <x v="0"/>
  </r>
  <r>
    <x v="221"/>
    <x v="10"/>
    <n v="18"/>
    <n v="15"/>
    <n v="268.94"/>
    <n v="1"/>
    <n v="1469.71"/>
    <s v="Grace"/>
    <s v="Williams"/>
    <x v="198"/>
    <s v="Female"/>
    <n v="0.83333333333333337"/>
    <n v="6.6666666666666666E-2"/>
    <n v="1469.71"/>
    <n v="81.650555555555556"/>
    <x v="1"/>
  </r>
  <r>
    <x v="221"/>
    <x v="10"/>
    <n v="72"/>
    <n v="12"/>
    <n v="474.28"/>
    <n v="1"/>
    <n v="1097.5999999999999"/>
    <s v="Vicky"/>
    <s v="Jones"/>
    <x v="6"/>
    <s v="Male"/>
    <n v="0.16666666666666666"/>
    <n v="8.3333333333333329E-2"/>
    <n v="1097.5999999999999"/>
    <n v="15.244444444444444"/>
    <x v="1"/>
  </r>
  <r>
    <x v="221"/>
    <x v="10"/>
    <n v="96"/>
    <n v="16"/>
    <n v="161.69"/>
    <n v="5"/>
    <n v="392.05"/>
    <s v="Will"/>
    <s v="Jones"/>
    <x v="205"/>
    <s v="Male"/>
    <n v="0.16666666666666666"/>
    <n v="0.3125"/>
    <n v="78.41"/>
    <n v="4.0838541666666668"/>
    <x v="0"/>
  </r>
  <r>
    <x v="221"/>
    <x v="10"/>
    <n v="26"/>
    <n v="17"/>
    <n v="504.54"/>
    <n v="8"/>
    <n v="3359.77"/>
    <s v="Darren"/>
    <s v="Martinez"/>
    <x v="206"/>
    <s v="Male"/>
    <n v="0.65384615384615385"/>
    <n v="0.47058823529411764"/>
    <n v="419.97125"/>
    <n v="129.22192307692308"/>
    <x v="0"/>
  </r>
  <r>
    <x v="221"/>
    <x v="10"/>
    <n v="81"/>
    <n v="7"/>
    <n v="79.62"/>
    <n v="7"/>
    <n v="3892.76"/>
    <s v="Karol"/>
    <s v="Garcia"/>
    <x v="207"/>
    <s v="Female"/>
    <n v="8.6419753086419748E-2"/>
    <n v="1"/>
    <n v="556.10857142857151"/>
    <n v="48.058765432098767"/>
    <x v="0"/>
  </r>
  <r>
    <x v="221"/>
    <x v="10"/>
    <n v="100"/>
    <n v="6"/>
    <n v="153.34"/>
    <n v="3"/>
    <n v="1248.54"/>
    <s v="Alex"/>
    <s v="Davis"/>
    <x v="208"/>
    <s v="Female"/>
    <n v="0.06"/>
    <n v="0.5"/>
    <n v="416.18"/>
    <n v="12.4854"/>
    <x v="0"/>
  </r>
  <r>
    <x v="221"/>
    <x v="10"/>
    <n v="65"/>
    <n v="9"/>
    <n v="220.46"/>
    <n v="3"/>
    <n v="707.75"/>
    <s v="Melissa"/>
    <s v="Rodriguez"/>
    <x v="202"/>
    <s v="Female"/>
    <n v="0.13846153846153847"/>
    <n v="0.33333333333333331"/>
    <n v="235.91666666666666"/>
    <n v="10.888461538461538"/>
    <x v="0"/>
  </r>
  <r>
    <x v="221"/>
    <x v="10"/>
    <n v="30"/>
    <n v="6"/>
    <n v="209.84"/>
    <n v="1"/>
    <n v="3534.1"/>
    <s v="Ian"/>
    <s v="Miller"/>
    <x v="12"/>
    <s v="Male"/>
    <n v="0.2"/>
    <n v="0.16666666666666666"/>
    <n v="3534.1"/>
    <n v="117.80333333333333"/>
    <x v="1"/>
  </r>
  <r>
    <x v="221"/>
    <x v="10"/>
    <n v="59"/>
    <n v="21"/>
    <n v="633.37"/>
    <n v="2"/>
    <n v="358.29"/>
    <s v="Paul"/>
    <s v="Brown"/>
    <x v="209"/>
    <s v="Male"/>
    <n v="0.3559322033898305"/>
    <n v="9.5238095238095233E-2"/>
    <n v="179.14500000000001"/>
    <n v="6.0727118644067799"/>
    <x v="1"/>
  </r>
  <r>
    <x v="221"/>
    <x v="10"/>
    <n v="32"/>
    <n v="7"/>
    <n v="563.41999999999996"/>
    <n v="6"/>
    <n v="3543.71"/>
    <s v="Richard"/>
    <s v="Martinez"/>
    <x v="156"/>
    <s v="Female"/>
    <n v="0.21875"/>
    <n v="0.8571428571428571"/>
    <n v="590.61833333333334"/>
    <n v="110.7409375"/>
    <x v="0"/>
  </r>
  <r>
    <x v="221"/>
    <x v="10"/>
    <n v="23"/>
    <n v="7"/>
    <n v="190.12"/>
    <n v="4"/>
    <n v="788.65"/>
    <s v="James"/>
    <s v="Garcia"/>
    <x v="186"/>
    <s v="Male"/>
    <n v="0.30434782608695654"/>
    <n v="0.5714285714285714"/>
    <n v="197.16249999999999"/>
    <n v="34.289130434782606"/>
    <x v="0"/>
  </r>
  <r>
    <x v="221"/>
    <x v="10"/>
    <n v="74"/>
    <n v="13"/>
    <n v="324.77999999999997"/>
    <n v="7"/>
    <n v="995.6"/>
    <s v="Chris"/>
    <s v="Davis"/>
    <x v="37"/>
    <s v="Male"/>
    <n v="0.17567567567567569"/>
    <n v="0.53846153846153844"/>
    <n v="142.22857142857143"/>
    <n v="13.454054054054055"/>
    <x v="0"/>
  </r>
  <r>
    <x v="221"/>
    <x v="10"/>
    <n v="30"/>
    <n v="21"/>
    <n v="372.34"/>
    <n v="7"/>
    <n v="1172.04"/>
    <s v="Molly"/>
    <s v="Williams"/>
    <x v="138"/>
    <s v="Female"/>
    <n v="0.7"/>
    <n v="0.33333333333333331"/>
    <n v="167.43428571428572"/>
    <n v="39.067999999999998"/>
    <x v="0"/>
  </r>
  <r>
    <x v="221"/>
    <x v="10"/>
    <n v="50"/>
    <n v="9"/>
    <n v="237.95"/>
    <n v="5"/>
    <n v="3982.36"/>
    <s v="Charlie"/>
    <s v="Davis"/>
    <x v="210"/>
    <s v="Female"/>
    <n v="0.18"/>
    <n v="0.55555555555555558"/>
    <n v="796.47199999999998"/>
    <n v="79.647199999999998"/>
    <x v="0"/>
  </r>
  <r>
    <x v="221"/>
    <x v="10"/>
    <n v="53"/>
    <n v="17"/>
    <n v="404.22"/>
    <n v="2"/>
    <n v="3669.4"/>
    <s v="Diana"/>
    <s v="Jones"/>
    <x v="211"/>
    <s v="Female"/>
    <n v="0.32075471698113206"/>
    <n v="0.11764705882352941"/>
    <n v="1834.7"/>
    <n v="69.233962264150946"/>
    <x v="1"/>
  </r>
  <r>
    <x v="221"/>
    <x v="10"/>
    <n v="74"/>
    <n v="17"/>
    <n v="284.91000000000003"/>
    <n v="3"/>
    <n v="2481.64"/>
    <s v="Rick"/>
    <s v="Williams"/>
    <x v="54"/>
    <s v="Female"/>
    <n v="0.22972972972972974"/>
    <n v="0.17647058823529413"/>
    <n v="827.21333333333325"/>
    <n v="33.535675675675677"/>
    <x v="1"/>
  </r>
  <r>
    <x v="221"/>
    <x v="10"/>
    <n v="76"/>
    <n v="14"/>
    <n v="351.42"/>
    <n v="4"/>
    <n v="3917.99"/>
    <s v="Alice"/>
    <s v="Williams"/>
    <x v="142"/>
    <s v="Female"/>
    <n v="0.18421052631578946"/>
    <n v="0.2857142857142857"/>
    <n v="979.49749999999995"/>
    <n v="51.552499999999995"/>
    <x v="0"/>
  </r>
  <r>
    <x v="221"/>
    <x v="10"/>
    <n v="52"/>
    <n v="6"/>
    <n v="492.23"/>
    <n v="2"/>
    <n v="3775.84"/>
    <s v="Bob"/>
    <s v="Smith"/>
    <x v="103"/>
    <s v="Male"/>
    <n v="0.11538461538461539"/>
    <n v="0.33333333333333331"/>
    <n v="1887.92"/>
    <n v="72.612307692307695"/>
    <x v="0"/>
  </r>
  <r>
    <x v="221"/>
    <x v="10"/>
    <n v="67"/>
    <n v="12"/>
    <n v="352.6"/>
    <n v="6"/>
    <n v="4402.41"/>
    <s v="Evan"/>
    <s v="Davis"/>
    <x v="44"/>
    <s v="Female"/>
    <n v="0.17910447761194029"/>
    <n v="0.5"/>
    <n v="733.73500000000001"/>
    <n v="65.707611940298506"/>
    <x v="0"/>
  </r>
  <r>
    <x v="222"/>
    <x v="10"/>
    <n v="98"/>
    <n v="44"/>
    <n v="119.6560699205495"/>
    <n v="20"/>
    <n v="3323.774584482665"/>
    <s v="Jake"/>
    <s v="Davis"/>
    <x v="159"/>
    <s v="Female"/>
    <n v="0.44897959183673469"/>
    <n v="0.45454545454545453"/>
    <n v="166.18872922413325"/>
    <n v="33.916067188598625"/>
    <x v="0"/>
  </r>
  <r>
    <x v="223"/>
    <x v="10"/>
    <n v="86"/>
    <n v="42"/>
    <n v="499.70519945452128"/>
    <n v="25"/>
    <n v="4431.5470138385244"/>
    <s v="Jane"/>
    <s v="Davis"/>
    <x v="187"/>
    <s v="Male"/>
    <n v="0.48837209302325579"/>
    <n v="0.59523809523809523"/>
    <n v="177.26188055354098"/>
    <n v="51.529616439982846"/>
    <x v="0"/>
  </r>
  <r>
    <x v="224"/>
    <x v="10"/>
    <n v="98"/>
    <n v="42"/>
    <n v="413.95019474545393"/>
    <n v="35"/>
    <n v="4928.3756113968284"/>
    <s v="Jane"/>
    <s v="Smith"/>
    <x v="38"/>
    <s v="Female"/>
    <n v="0.42857142857142855"/>
    <n v="0.83333333333333337"/>
    <n v="140.8107317541951"/>
    <n v="50.289547055069676"/>
    <x v="0"/>
  </r>
  <r>
    <x v="225"/>
    <x v="10"/>
    <n v="66"/>
    <n v="70"/>
    <n v="140.87951597443589"/>
    <n v="22"/>
    <n v="3957.2303623903322"/>
    <s v="Mimi"/>
    <s v="Williams"/>
    <x v="1"/>
    <s v="Male"/>
    <n v="1.0606060606060606"/>
    <n v="0.31428571428571428"/>
    <n v="179.87410738137874"/>
    <n v="59.958035793792909"/>
    <x v="0"/>
  </r>
  <r>
    <x v="226"/>
    <x v="10"/>
    <n v="98"/>
    <n v="60"/>
    <n v="536.78931205338858"/>
    <n v="0"/>
    <n v="2379.950519753002"/>
    <s v="Jane"/>
    <s v="Williams"/>
    <x v="36"/>
    <s v="Male"/>
    <n v="0.61224489795918369"/>
    <n v="0"/>
    <n v="0"/>
    <n v="24.285209385234715"/>
    <x v="1"/>
  </r>
  <r>
    <x v="227"/>
    <x v="10"/>
    <n v="51"/>
    <n v="52"/>
    <n v="560.43620026590656"/>
    <n v="39"/>
    <n v="2396.106510246816"/>
    <s v="Evan"/>
    <s v="Brown"/>
    <x v="160"/>
    <s v="Female"/>
    <n v="1.0196078431372548"/>
    <n v="0.75"/>
    <n v="61.438628467867076"/>
    <n v="46.982480593074825"/>
    <x v="0"/>
  </r>
  <r>
    <x v="228"/>
    <x v="10"/>
    <n v="51"/>
    <n v="21"/>
    <n v="130.53897992743191"/>
    <n v="14"/>
    <n v="3819.1203571500118"/>
    <s v="Anna"/>
    <s v="Johnson"/>
    <x v="95"/>
    <s v="Female"/>
    <n v="0.41176470588235292"/>
    <n v="0.66666666666666663"/>
    <n v="272.79431122500085"/>
    <n v="74.884712885294348"/>
    <x v="0"/>
  </r>
  <r>
    <x v="229"/>
    <x v="10"/>
    <n v="77"/>
    <n v="76"/>
    <n v="238.43882407360189"/>
    <n v="20"/>
    <n v="1574.497155957361"/>
    <s v="John"/>
    <s v="Williams"/>
    <x v="28"/>
    <s v="Female"/>
    <n v="0.98701298701298701"/>
    <n v="0.26315789473684209"/>
    <n v="78.724857797868054"/>
    <n v="20.44801501243326"/>
    <x v="0"/>
  </r>
  <r>
    <x v="230"/>
    <x v="10"/>
    <n v="72"/>
    <n v="74"/>
    <n v="503.10063989653071"/>
    <n v="8"/>
    <n v="997.13350909127598"/>
    <s v="Chris"/>
    <s v="Williams"/>
    <x v="73"/>
    <s v="Female"/>
    <n v="1.0277777777777777"/>
    <n v="0.10810810810810811"/>
    <n v="124.6416886364095"/>
    <n v="13.849076515156611"/>
    <x v="1"/>
  </r>
  <r>
    <x v="231"/>
    <x v="10"/>
    <n v="86"/>
    <n v="42"/>
    <n v="474.12984519182919"/>
    <n v="8"/>
    <n v="2095.7997093834952"/>
    <s v="Evan"/>
    <s v="Garcia"/>
    <x v="0"/>
    <s v="Female"/>
    <n v="0.48837209302325579"/>
    <n v="0.19047619047619047"/>
    <n v="261.97496367293689"/>
    <n v="24.369764062598779"/>
    <x v="1"/>
  </r>
  <r>
    <x v="232"/>
    <x v="10"/>
    <n v="81"/>
    <n v="49"/>
    <n v="192.2605096781887"/>
    <n v="9"/>
    <n v="1792.575462443368"/>
    <s v="John"/>
    <s v="Garcia"/>
    <x v="68"/>
    <s v="Female"/>
    <n v="0.60493827160493829"/>
    <n v="0.18367346938775511"/>
    <n v="199.17505138259645"/>
    <n v="22.13056126473294"/>
    <x v="1"/>
  </r>
  <r>
    <x v="233"/>
    <x v="10"/>
    <n v="82"/>
    <n v="52"/>
    <n v="204.67466166835521"/>
    <n v="25"/>
    <n v="1833.3865420519551"/>
    <s v="Jake"/>
    <s v="Martinez"/>
    <x v="96"/>
    <s v="Female"/>
    <n v="0.63414634146341464"/>
    <n v="0.48076923076923078"/>
    <n v="73.335461682078204"/>
    <n v="22.358372464048234"/>
    <x v="0"/>
  </r>
  <r>
    <x v="234"/>
    <x v="10"/>
    <n v="50"/>
    <n v="53"/>
    <n v="285.23605139569099"/>
    <n v="34"/>
    <n v="1551.234879724595"/>
    <s v="Jake"/>
    <s v="Rodriguez"/>
    <x v="22"/>
    <s v="Male"/>
    <n v="1.06"/>
    <n v="0.64150943396226412"/>
    <n v="45.624555286017497"/>
    <n v="31.024697594491901"/>
    <x v="0"/>
  </r>
  <r>
    <x v="235"/>
    <x v="10"/>
    <n v="68"/>
    <n v="38"/>
    <n v="342.26149259551067"/>
    <n v="24"/>
    <n v="689.41935336362849"/>
    <s v="Jake"/>
    <s v="Rodriguez"/>
    <x v="22"/>
    <s v="Male"/>
    <n v="0.55882352941176472"/>
    <n v="0.63157894736842102"/>
    <n v="28.725806390151188"/>
    <n v="10.138519902406301"/>
    <x v="0"/>
  </r>
  <r>
    <x v="236"/>
    <x v="10"/>
    <n v="51"/>
    <n v="22"/>
    <n v="409.12738576514801"/>
    <n v="25"/>
    <n v="580.43270630036216"/>
    <s v="Evan"/>
    <s v="Smith"/>
    <x v="141"/>
    <s v="Male"/>
    <n v="0.43137254901960786"/>
    <n v="1.1363636363636365"/>
    <n v="23.217308252014487"/>
    <n v="11.381033456869845"/>
    <x v="0"/>
  </r>
  <r>
    <x v="237"/>
    <x v="10"/>
    <n v="93"/>
    <n v="21"/>
    <n v="284.45681978488619"/>
    <n v="10"/>
    <n v="4944.7507538121417"/>
    <s v="Evan"/>
    <s v="Rodriguez"/>
    <x v="70"/>
    <s v="Male"/>
    <n v="0.22580645161290322"/>
    <n v="0.47619047619047616"/>
    <n v="494.4750753812142"/>
    <n v="53.16936294421658"/>
    <x v="0"/>
  </r>
  <r>
    <x v="238"/>
    <x v="10"/>
    <n v="75"/>
    <n v="55"/>
    <n v="331.26735806657388"/>
    <n v="37"/>
    <n v="2424.979101811381"/>
    <s v="Chris"/>
    <s v="Brown"/>
    <x v="86"/>
    <s v="Male"/>
    <n v="0.73333333333333328"/>
    <n v="0.67272727272727273"/>
    <n v="65.539975724631915"/>
    <n v="32.333054690818415"/>
    <x v="0"/>
  </r>
  <r>
    <x v="239"/>
    <x v="10"/>
    <n v="81"/>
    <n v="11"/>
    <n v="473.7354690668783"/>
    <n v="1"/>
    <n v="2229.469912218568"/>
    <s v="Anna"/>
    <s v="Smith"/>
    <x v="173"/>
    <s v="Female"/>
    <n v="0.13580246913580246"/>
    <n v="9.0909090909090912E-2"/>
    <n v="2229.469912218568"/>
    <n v="27.524319903932938"/>
    <x v="1"/>
  </r>
  <r>
    <x v="240"/>
    <x v="10"/>
    <n v="55"/>
    <n v="44"/>
    <n v="118.34160144529891"/>
    <n v="6"/>
    <n v="3558.4127721188138"/>
    <s v="Alice"/>
    <s v="Martinez"/>
    <x v="98"/>
    <s v="Male"/>
    <n v="0.8"/>
    <n v="0.13636363636363635"/>
    <n v="593.06879535313567"/>
    <n v="64.698414038523893"/>
    <x v="1"/>
  </r>
  <r>
    <x v="241"/>
    <x v="10"/>
    <n v="81"/>
    <n v="17"/>
    <n v="226.21847217201039"/>
    <n v="17"/>
    <n v="1482.142495392789"/>
    <s v="Jane"/>
    <s v="Garcia"/>
    <x v="124"/>
    <s v="Male"/>
    <n v="0.20987654320987653"/>
    <n v="1"/>
    <n v="87.184852670164062"/>
    <n v="18.298055498676408"/>
    <x v="0"/>
  </r>
  <r>
    <x v="242"/>
    <x v="11"/>
    <n v="39"/>
    <n v="15"/>
    <n v="319.08999999999997"/>
    <n v="7"/>
    <n v="4573.5"/>
    <s v="Mimi"/>
    <s v="Williams"/>
    <x v="1"/>
    <s v="Female"/>
    <n v="0.38461538461538464"/>
    <n v="0.46666666666666667"/>
    <n v="653.35714285714289"/>
    <n v="117.26923076923077"/>
    <x v="0"/>
  </r>
  <r>
    <x v="242"/>
    <x v="11"/>
    <n v="32"/>
    <n v="10"/>
    <n v="500.83"/>
    <n v="4"/>
    <n v="239.13"/>
    <s v="David"/>
    <s v="Brown"/>
    <x v="212"/>
    <s v="Female"/>
    <n v="0.3125"/>
    <n v="0.4"/>
    <n v="59.782499999999999"/>
    <n v="7.4728124999999999"/>
    <x v="0"/>
  </r>
  <r>
    <x v="242"/>
    <x v="11"/>
    <n v="61"/>
    <n v="13"/>
    <n v="356.61"/>
    <n v="7"/>
    <n v="4099.6400000000003"/>
    <s v="Evan"/>
    <s v="Jones"/>
    <x v="107"/>
    <s v="Female"/>
    <n v="0.21311475409836064"/>
    <n v="0.53846153846153844"/>
    <n v="585.66285714285721"/>
    <n v="67.207213114754097"/>
    <x v="0"/>
  </r>
  <r>
    <x v="242"/>
    <x v="11"/>
    <n v="84"/>
    <n v="14"/>
    <n v="370.36"/>
    <n v="0"/>
    <n v="2605.02"/>
    <s v="Craig"/>
    <s v="Smith"/>
    <x v="204"/>
    <s v="Male"/>
    <n v="0.16666666666666666"/>
    <n v="0"/>
    <n v="0"/>
    <n v="31.012142857142855"/>
    <x v="1"/>
  </r>
  <r>
    <x v="242"/>
    <x v="11"/>
    <n v="94"/>
    <n v="6"/>
    <n v="537.26"/>
    <n v="1"/>
    <n v="3665.55"/>
    <s v="Emma"/>
    <s v="Smith"/>
    <x v="85"/>
    <s v="Male"/>
    <n v="6.3829787234042548E-2"/>
    <n v="0.16666666666666666"/>
    <n v="3665.55"/>
    <n v="38.995212765957447"/>
    <x v="1"/>
  </r>
  <r>
    <x v="242"/>
    <x v="11"/>
    <n v="21"/>
    <n v="17"/>
    <n v="297.83999999999997"/>
    <n v="1"/>
    <n v="1553.7"/>
    <s v="Grace"/>
    <s v="Miller"/>
    <x v="213"/>
    <s v="Female"/>
    <n v="0.80952380952380953"/>
    <n v="5.8823529411764705E-2"/>
    <n v="1553.7"/>
    <n v="73.985714285714295"/>
    <x v="1"/>
  </r>
  <r>
    <x v="242"/>
    <x v="11"/>
    <n v="74"/>
    <n v="14"/>
    <n v="508.85"/>
    <n v="1"/>
    <n v="1182.6300000000001"/>
    <s v="Vicky"/>
    <s v="Williams"/>
    <x v="152"/>
    <s v="Female"/>
    <n v="0.1891891891891892"/>
    <n v="7.1428571428571425E-2"/>
    <n v="1182.6300000000001"/>
    <n v="15.981486486486489"/>
    <x v="1"/>
  </r>
  <r>
    <x v="242"/>
    <x v="11"/>
    <n v="99"/>
    <n v="15"/>
    <n v="181.12"/>
    <n v="5"/>
    <n v="454.09"/>
    <s v="Will"/>
    <s v="Davis"/>
    <x v="168"/>
    <s v="Female"/>
    <n v="0.15151515151515152"/>
    <n v="0.33333333333333331"/>
    <n v="90.817999999999998"/>
    <n v="4.5867676767676766"/>
    <x v="0"/>
  </r>
  <r>
    <x v="242"/>
    <x v="11"/>
    <n v="26"/>
    <n v="13"/>
    <n v="543.15"/>
    <n v="6"/>
    <n v="3793.56"/>
    <s v="Darren"/>
    <s v="Williams"/>
    <x v="214"/>
    <s v="Male"/>
    <n v="0.5"/>
    <n v="0.46153846153846156"/>
    <n v="632.26"/>
    <n v="145.90615384615384"/>
    <x v="0"/>
  </r>
  <r>
    <x v="242"/>
    <x v="11"/>
    <n v="74"/>
    <n v="6"/>
    <n v="87.83"/>
    <n v="6"/>
    <n v="3741.27"/>
    <s v="Karol"/>
    <s v="Garcia"/>
    <x v="207"/>
    <s v="Male"/>
    <n v="8.1081081081081086E-2"/>
    <n v="1"/>
    <n v="623.54499999999996"/>
    <n v="50.557702702702706"/>
    <x v="0"/>
  </r>
  <r>
    <x v="242"/>
    <x v="11"/>
    <n v="88"/>
    <n v="5"/>
    <n v="168.89"/>
    <n v="3"/>
    <n v="1153.93"/>
    <s v="Alex"/>
    <s v="Miller"/>
    <x v="81"/>
    <s v="Female"/>
    <n v="5.6818181818181816E-2"/>
    <n v="0.6"/>
    <n v="384.64333333333337"/>
    <n v="13.112840909090909"/>
    <x v="0"/>
  </r>
  <r>
    <x v="242"/>
    <x v="11"/>
    <n v="57"/>
    <n v="7"/>
    <n v="190.08"/>
    <n v="2"/>
    <n v="649.97"/>
    <s v="Melissa"/>
    <s v="Garcia"/>
    <x v="166"/>
    <s v="Male"/>
    <n v="0.12280701754385964"/>
    <n v="0.2857142857142857"/>
    <n v="324.98500000000001"/>
    <n v="11.402982456140352"/>
    <x v="0"/>
  </r>
  <r>
    <x v="242"/>
    <x v="11"/>
    <n v="31"/>
    <n v="6"/>
    <n v="191.66"/>
    <n v="2"/>
    <n v="3753.06"/>
    <s v="Ian"/>
    <s v="Smith"/>
    <x v="215"/>
    <s v="Male"/>
    <n v="0.19354838709677419"/>
    <n v="0.33333333333333331"/>
    <n v="1876.53"/>
    <n v="121.06645161290322"/>
    <x v="0"/>
  </r>
  <r>
    <x v="242"/>
    <x v="11"/>
    <n v="77"/>
    <n v="16"/>
    <n v="539.26"/>
    <n v="3"/>
    <n v="379.83"/>
    <s v="Paul"/>
    <s v="Jones"/>
    <x v="216"/>
    <s v="Male"/>
    <n v="0.20779220779220781"/>
    <n v="0.1875"/>
    <n v="126.61"/>
    <n v="4.9328571428571424"/>
    <x v="1"/>
  </r>
  <r>
    <x v="242"/>
    <x v="11"/>
    <n v="83"/>
    <n v="9"/>
    <n v="188.49"/>
    <n v="7"/>
    <n v="545.09"/>
    <s v="Josh"/>
    <s v="Smith"/>
    <x v="217"/>
    <s v="Male"/>
    <n v="0.10843373493975904"/>
    <n v="0.77777777777777779"/>
    <n v="77.87"/>
    <n v="6.5673493975903616"/>
    <x v="0"/>
  </r>
  <r>
    <x v="242"/>
    <x v="11"/>
    <n v="18"/>
    <n v="6"/>
    <n v="212.39"/>
    <n v="3"/>
    <n v="730.81"/>
    <s v="James"/>
    <s v="Johnson"/>
    <x v="218"/>
    <s v="Female"/>
    <n v="0.33333333333333331"/>
    <n v="0.5"/>
    <n v="243.60333333333332"/>
    <n v="40.600555555555552"/>
    <x v="0"/>
  </r>
  <r>
    <x v="242"/>
    <x v="11"/>
    <n v="69"/>
    <n v="16"/>
    <n v="337.7"/>
    <n v="9"/>
    <n v="947.47"/>
    <s v="Chris"/>
    <s v="Miller"/>
    <x v="108"/>
    <s v="Male"/>
    <n v="0.2318840579710145"/>
    <n v="0.5625"/>
    <n v="105.27444444444444"/>
    <n v="13.731449275362319"/>
    <x v="0"/>
  </r>
  <r>
    <x v="242"/>
    <x v="11"/>
    <n v="28"/>
    <n v="19"/>
    <n v="352.06"/>
    <n v="9"/>
    <n v="1107.51"/>
    <s v="Molly"/>
    <s v="Brown"/>
    <x v="219"/>
    <s v="Male"/>
    <n v="0.6785714285714286"/>
    <n v="0.47368421052631576"/>
    <n v="123.05666666666667"/>
    <n v="39.553928571428571"/>
    <x v="0"/>
  </r>
  <r>
    <x v="242"/>
    <x v="11"/>
    <n v="50"/>
    <n v="6"/>
    <n v="219.19"/>
    <n v="4"/>
    <n v="3836.95"/>
    <s v="Charlie"/>
    <s v="Martinez"/>
    <x v="137"/>
    <s v="Male"/>
    <n v="0.12"/>
    <n v="0.66666666666666663"/>
    <n v="959.23749999999995"/>
    <n v="76.73899999999999"/>
    <x v="0"/>
  </r>
  <r>
    <x v="242"/>
    <x v="11"/>
    <n v="84"/>
    <n v="19"/>
    <n v="301.2"/>
    <n v="2"/>
    <n v="2608.4699999999998"/>
    <s v="Rick"/>
    <s v="Martinez"/>
    <x v="220"/>
    <s v="Male"/>
    <n v="0.22619047619047619"/>
    <n v="0.10526315789473684"/>
    <n v="1304.2349999999999"/>
    <n v="31.053214285714283"/>
    <x v="1"/>
  </r>
  <r>
    <x v="242"/>
    <x v="11"/>
    <n v="70"/>
    <n v="6"/>
    <n v="488.97"/>
    <n v="3"/>
    <n v="3767.09"/>
    <s v="Bob"/>
    <s v="Jones"/>
    <x v="20"/>
    <s v="Female"/>
    <n v="8.5714285714285715E-2"/>
    <n v="0.5"/>
    <n v="1255.6966666666667"/>
    <n v="53.815571428571431"/>
    <x v="0"/>
  </r>
  <r>
    <x v="242"/>
    <x v="11"/>
    <n v="101"/>
    <n v="14"/>
    <n v="503.93"/>
    <n v="5"/>
    <n v="1116.6099999999999"/>
    <s v="Liam"/>
    <s v="Williams"/>
    <x v="221"/>
    <s v="Female"/>
    <n v="0.13861386138613863"/>
    <n v="0.35714285714285715"/>
    <n v="223.32199999999997"/>
    <n v="11.055544554455444"/>
    <x v="0"/>
  </r>
  <r>
    <x v="242"/>
    <x v="11"/>
    <n v="20"/>
    <n v="5"/>
    <n v="71.41"/>
    <n v="3"/>
    <n v="1527.27"/>
    <s v="Jake"/>
    <s v="Davis"/>
    <x v="159"/>
    <s v="Male"/>
    <n v="0.25"/>
    <n v="0.6"/>
    <n v="509.09"/>
    <n v="76.363500000000002"/>
    <x v="0"/>
  </r>
  <r>
    <x v="242"/>
    <x v="11"/>
    <n v="51"/>
    <n v="14"/>
    <n v="419.93"/>
    <n v="2"/>
    <n v="3543.6"/>
    <s v="Diana"/>
    <s v="Jones"/>
    <x v="211"/>
    <s v="Female"/>
    <n v="0.27450980392156865"/>
    <n v="0.14285714285714285"/>
    <n v="1771.8"/>
    <n v="69.482352941176472"/>
    <x v="1"/>
  </r>
  <r>
    <x v="242"/>
    <x v="11"/>
    <n v="40"/>
    <n v="7"/>
    <n v="486.93"/>
    <n v="7"/>
    <n v="3643.63"/>
    <s v="Richard"/>
    <s v="Brown"/>
    <x v="163"/>
    <s v="Male"/>
    <n v="0.17499999999999999"/>
    <n v="1"/>
    <n v="520.51857142857148"/>
    <n v="91.09075"/>
    <x v="0"/>
  </r>
  <r>
    <x v="242"/>
    <x v="11"/>
    <n v="80"/>
    <n v="13"/>
    <n v="369.46"/>
    <n v="4"/>
    <n v="3996.04"/>
    <s v="Alice"/>
    <s v="Garcia"/>
    <x v="121"/>
    <s v="Male"/>
    <n v="0.16250000000000001"/>
    <n v="0.30769230769230771"/>
    <n v="999.01"/>
    <n v="49.950499999999998"/>
    <x v="0"/>
  </r>
  <r>
    <x v="243"/>
    <x v="11"/>
    <n v="53"/>
    <n v="35"/>
    <n v="456.67479294227621"/>
    <n v="26"/>
    <n v="4774.8253277760141"/>
    <s v="Jake"/>
    <s v="Rodriguez"/>
    <x v="22"/>
    <s v="Male"/>
    <n v="0.660377358490566"/>
    <n v="0.74285714285714288"/>
    <n v="183.64712799138516"/>
    <n v="90.091043920302155"/>
    <x v="0"/>
  </r>
  <r>
    <x v="244"/>
    <x v="11"/>
    <n v="60"/>
    <n v="43"/>
    <n v="547.60341884359968"/>
    <n v="33"/>
    <n v="4038.5525648699841"/>
    <s v="Mimi"/>
    <s v="Johnson"/>
    <x v="125"/>
    <s v="Male"/>
    <n v="0.71666666666666667"/>
    <n v="0.76744186046511631"/>
    <n v="122.38038075363588"/>
    <n v="67.309209414499733"/>
    <x v="0"/>
  </r>
  <r>
    <x v="245"/>
    <x v="11"/>
    <n v="66"/>
    <n v="16"/>
    <n v="355.83872105783303"/>
    <n v="26"/>
    <n v="902.34951040516785"/>
    <s v="Anna"/>
    <s v="Garcia"/>
    <x v="69"/>
    <s v="Male"/>
    <n v="0.24242424242424243"/>
    <n v="1.625"/>
    <n v="34.705750400198767"/>
    <n v="13.671962278866179"/>
    <x v="0"/>
  </r>
  <r>
    <x v="246"/>
    <x v="11"/>
    <n v="87"/>
    <n v="77"/>
    <n v="366.0567426326578"/>
    <n v="16"/>
    <n v="2379.113491032178"/>
    <s v="Mimi"/>
    <s v="Davis"/>
    <x v="39"/>
    <s v="Male"/>
    <n v="0.88505747126436785"/>
    <n v="0.20779220779220781"/>
    <n v="148.69459318951112"/>
    <n v="27.346132080829634"/>
    <x v="0"/>
  </r>
  <r>
    <x v="247"/>
    <x v="11"/>
    <n v="73"/>
    <n v="67"/>
    <n v="153.58600566988801"/>
    <n v="23"/>
    <n v="4456.0323840297406"/>
    <s v="Chris"/>
    <s v="Brown"/>
    <x v="86"/>
    <s v="Male"/>
    <n v="0.9178082191780822"/>
    <n v="0.34328358208955223"/>
    <n v="193.74053843607567"/>
    <n v="61.041539507256722"/>
    <x v="0"/>
  </r>
  <r>
    <x v="248"/>
    <x v="11"/>
    <n v="54"/>
    <n v="38"/>
    <n v="323.70618341172741"/>
    <n v="24"/>
    <n v="4751.2941003113456"/>
    <s v="Chris"/>
    <s v="Garcia"/>
    <x v="35"/>
    <s v="Female"/>
    <n v="0.70370370370370372"/>
    <n v="0.63157894736842102"/>
    <n v="197.97058751297274"/>
    <n v="87.986927783543436"/>
    <x v="0"/>
  </r>
  <r>
    <x v="249"/>
    <x v="11"/>
    <n v="83"/>
    <n v="45"/>
    <n v="366.30863322751162"/>
    <n v="6"/>
    <n v="2603.3068006244139"/>
    <s v="Chris"/>
    <s v="Brown"/>
    <x v="86"/>
    <s v="Female"/>
    <n v="0.54216867469879515"/>
    <n v="0.13333333333333333"/>
    <n v="433.88446677073563"/>
    <n v="31.365142176197757"/>
    <x v="1"/>
  </r>
  <r>
    <x v="250"/>
    <x v="11"/>
    <n v="55"/>
    <n v="30"/>
    <n v="221.2352518173648"/>
    <n v="5"/>
    <n v="3260.351251448184"/>
    <s v="John"/>
    <s v="Brown"/>
    <x v="40"/>
    <s v="Male"/>
    <n v="0.54545454545454541"/>
    <n v="0.16666666666666666"/>
    <n v="652.07025028963676"/>
    <n v="59.279113662694257"/>
    <x v="1"/>
  </r>
  <r>
    <x v="251"/>
    <x v="11"/>
    <n v="71"/>
    <n v="45"/>
    <n v="234.62161547469049"/>
    <n v="23"/>
    <n v="1251.652757414339"/>
    <s v="Mimi"/>
    <s v="Brown"/>
    <x v="100"/>
    <s v="Female"/>
    <n v="0.63380281690140849"/>
    <n v="0.51111111111111107"/>
    <n v="54.419685104971265"/>
    <n v="17.628912076258295"/>
    <x v="0"/>
  </r>
  <r>
    <x v="252"/>
    <x v="11"/>
    <n v="60"/>
    <n v="19"/>
    <n v="288.64208155231131"/>
    <n v="32"/>
    <n v="4960.2588176163936"/>
    <s v="Anna"/>
    <s v="Martinez"/>
    <x v="143"/>
    <s v="Female"/>
    <n v="0.31666666666666665"/>
    <n v="1.6842105263157894"/>
    <n v="155.0080880505123"/>
    <n v="82.670980293606561"/>
    <x v="0"/>
  </r>
  <r>
    <x v="253"/>
    <x v="11"/>
    <n v="97"/>
    <n v="33"/>
    <n v="110.03559888886321"/>
    <n v="28"/>
    <n v="1542.522656225495"/>
    <s v="Alice"/>
    <s v="Brown"/>
    <x v="43"/>
    <s v="Female"/>
    <n v="0.34020618556701032"/>
    <n v="0.84848484848484851"/>
    <n v="55.090094865196249"/>
    <n v="15.902295425005104"/>
    <x v="0"/>
  </r>
  <r>
    <x v="254"/>
    <x v="11"/>
    <n v="65"/>
    <n v="73"/>
    <n v="261.03958279158923"/>
    <n v="21"/>
    <n v="4742.2929836080657"/>
    <s v="Anna"/>
    <s v="Brown"/>
    <x v="31"/>
    <s v="Female"/>
    <n v="1.1230769230769231"/>
    <n v="0.28767123287671231"/>
    <n v="225.8234754099079"/>
    <n v="72.958353593970244"/>
    <x v="0"/>
  </r>
  <r>
    <x v="255"/>
    <x v="11"/>
    <n v="82"/>
    <n v="58"/>
    <n v="205.72400349827231"/>
    <n v="25"/>
    <n v="3423.4099204656582"/>
    <s v="Evan"/>
    <s v="Davis"/>
    <x v="44"/>
    <s v="Male"/>
    <n v="0.70731707317073167"/>
    <n v="0.43103448275862066"/>
    <n v="136.93639681862632"/>
    <n v="41.74890146909339"/>
    <x v="0"/>
  </r>
  <r>
    <x v="256"/>
    <x v="11"/>
    <n v="58"/>
    <n v="45"/>
    <n v="263.74867608895732"/>
    <n v="27"/>
    <n v="3234.8155769548662"/>
    <s v="Evan"/>
    <s v="Johnson"/>
    <x v="34"/>
    <s v="Female"/>
    <n v="0.77586206896551724"/>
    <n v="0.6"/>
    <n v="119.80798433166171"/>
    <n v="55.772682361290798"/>
    <x v="0"/>
  </r>
  <r>
    <x v="257"/>
    <x v="11"/>
    <n v="55"/>
    <n v="33"/>
    <n v="159.88106590962559"/>
    <n v="20"/>
    <n v="2807.0982995742888"/>
    <s v="Jake"/>
    <s v="Smith"/>
    <x v="67"/>
    <s v="Female"/>
    <n v="0.6"/>
    <n v="0.60606060606060608"/>
    <n v="140.35491497871445"/>
    <n v="51.038150901350704"/>
    <x v="0"/>
  </r>
  <r>
    <x v="258"/>
    <x v="11"/>
    <n v="65"/>
    <n v="32"/>
    <n v="545.26364036994755"/>
    <n v="6"/>
    <n v="1538.014152729914"/>
    <s v="Alice"/>
    <s v="Williams"/>
    <x v="142"/>
    <s v="Female"/>
    <n v="0.49230769230769234"/>
    <n v="0.1875"/>
    <n v="256.33569212165236"/>
    <n v="23.661756195844831"/>
    <x v="1"/>
  </r>
  <r>
    <x v="259"/>
    <x v="11"/>
    <n v="78"/>
    <n v="71"/>
    <n v="396.79622677702429"/>
    <n v="16"/>
    <n v="1294.376144024787"/>
    <s v="Evan"/>
    <s v="Davis"/>
    <x v="44"/>
    <s v="Male"/>
    <n v="0.91025641025641024"/>
    <n v="0.22535211267605634"/>
    <n v="80.898509001549186"/>
    <n v="16.594565949035729"/>
    <x v="0"/>
  </r>
  <r>
    <x v="260"/>
    <x v="11"/>
    <n v="52"/>
    <n v="46"/>
    <n v="439.55115957224479"/>
    <n v="19"/>
    <n v="1492.187940815789"/>
    <s v="Chris"/>
    <s v="Smith"/>
    <x v="16"/>
    <s v="Male"/>
    <n v="0.88461538461538458"/>
    <n v="0.41304347826086957"/>
    <n v="78.536207411357324"/>
    <n v="28.695921938765174"/>
    <x v="0"/>
  </r>
  <r>
    <x v="261"/>
    <x v="11"/>
    <n v="69"/>
    <n v="21"/>
    <n v="494.58561930366909"/>
    <n v="19"/>
    <n v="1338.9721796491449"/>
    <s v="Anna"/>
    <s v="Brown"/>
    <x v="31"/>
    <s v="Male"/>
    <n v="0.30434782608695654"/>
    <n v="0.90476190476190477"/>
    <n v="70.472219981533939"/>
    <n v="19.405393907958622"/>
    <x v="0"/>
  </r>
  <r>
    <x v="262"/>
    <x v="11"/>
    <n v="85"/>
    <n v="64"/>
    <n v="349.22109946452861"/>
    <n v="21"/>
    <n v="4008.13013105039"/>
    <s v="Mimi"/>
    <s v="Johnson"/>
    <x v="125"/>
    <s v="Male"/>
    <n v="0.75294117647058822"/>
    <n v="0.328125"/>
    <n v="190.86333957382809"/>
    <n v="47.154472130004585"/>
    <x v="0"/>
  </r>
  <r>
    <x v="263"/>
    <x v="11"/>
    <n v="68"/>
    <n v="22"/>
    <n v="143.46014404371181"/>
    <n v="27"/>
    <n v="2075.5636662502861"/>
    <s v="Chris"/>
    <s v="Garcia"/>
    <x v="35"/>
    <s v="Male"/>
    <n v="0.3235294117647059"/>
    <n v="1.2272727272727273"/>
    <n v="76.872728379640222"/>
    <n v="30.522995091915973"/>
    <x v="0"/>
  </r>
  <r>
    <x v="264"/>
    <x v="11"/>
    <n v="75"/>
    <n v="32"/>
    <n v="368.55327090927392"/>
    <n v="39"/>
    <n v="760.29204453528359"/>
    <s v="John"/>
    <s v="Johnson"/>
    <x v="72"/>
    <s v="Male"/>
    <n v="0.42666666666666669"/>
    <n v="1.21875"/>
    <n v="19.494667808597015"/>
    <n v="10.13722726047044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6CF383-D2F0-4D21-A971-2BE606D3F24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Agent Name">
  <location ref="A3:G13" firstHeaderRow="0" firstDataRow="1" firstDataCol="1"/>
  <pivotFields count="17">
    <pivotField numFmtId="16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13">
        <item x="0"/>
        <item x="1"/>
        <item x="2"/>
        <item x="3"/>
        <item x="4"/>
        <item x="5"/>
        <item x="6"/>
        <item x="7"/>
        <item x="8"/>
        <item x="9"/>
        <item x="10"/>
        <item x="11"/>
        <item t="default"/>
      </items>
    </pivotField>
    <pivotField dataField="1" showAll="0"/>
    <pivotField dataField="1" showAll="0"/>
    <pivotField numFmtId="2" showAll="0"/>
    <pivotField dataField="1" showAll="0"/>
    <pivotField dataField="1" numFmtId="165" showAll="0"/>
    <pivotField showAll="0"/>
    <pivotField showAll="0"/>
    <pivotField axis="axisRow" showAll="0" measureFilter="1" sortType="descending">
      <items count="223">
        <item x="60"/>
        <item x="208"/>
        <item x="158"/>
        <item x="182"/>
        <item x="201"/>
        <item x="81"/>
        <item x="127"/>
        <item x="10"/>
        <item x="43"/>
        <item x="140"/>
        <item x="121"/>
        <item x="41"/>
        <item x="199"/>
        <item x="98"/>
        <item x="97"/>
        <item x="24"/>
        <item x="142"/>
        <item x="31"/>
        <item x="122"/>
        <item x="69"/>
        <item x="95"/>
        <item x="143"/>
        <item x="188"/>
        <item x="173"/>
        <item x="144"/>
        <item x="92"/>
        <item x="20"/>
        <item x="165"/>
        <item x="176"/>
        <item x="103"/>
        <item x="53"/>
        <item x="192"/>
        <item x="210"/>
        <item x="145"/>
        <item x="55"/>
        <item x="183"/>
        <item x="137"/>
        <item x="18"/>
        <item x="189"/>
        <item x="90"/>
        <item x="86"/>
        <item x="37"/>
        <item x="35"/>
        <item x="30"/>
        <item x="57"/>
        <item x="71"/>
        <item x="108"/>
        <item x="42"/>
        <item x="16"/>
        <item x="73"/>
        <item x="169"/>
        <item x="50"/>
        <item x="128"/>
        <item x="149"/>
        <item x="2"/>
        <item x="116"/>
        <item x="204"/>
        <item x="112"/>
        <item x="154"/>
        <item x="62"/>
        <item x="179"/>
        <item x="206"/>
        <item x="77"/>
        <item x="8"/>
        <item x="214"/>
        <item x="212"/>
        <item x="134"/>
        <item x="196"/>
        <item x="117"/>
        <item x="13"/>
        <item x="148"/>
        <item x="203"/>
        <item x="46"/>
        <item x="88"/>
        <item x="155"/>
        <item x="23"/>
        <item x="211"/>
        <item x="51"/>
        <item x="172"/>
        <item x="94"/>
        <item x="150"/>
        <item x="4"/>
        <item x="130"/>
        <item x="105"/>
        <item x="65"/>
        <item x="85"/>
        <item x="160"/>
        <item x="44"/>
        <item x="0"/>
        <item x="34"/>
        <item x="107"/>
        <item x="66"/>
        <item x="49"/>
        <item x="70"/>
        <item x="141"/>
        <item x="123"/>
        <item x="151"/>
        <item x="115"/>
        <item x="131"/>
        <item x="177"/>
        <item x="213"/>
        <item x="5"/>
        <item x="47"/>
        <item x="198"/>
        <item x="161"/>
        <item x="76"/>
        <item x="114"/>
        <item x="12"/>
        <item x="215"/>
        <item x="59"/>
        <item x="99"/>
        <item x="159"/>
        <item x="26"/>
        <item x="191"/>
        <item x="171"/>
        <item x="96"/>
        <item x="22"/>
        <item x="67"/>
        <item x="27"/>
        <item x="194"/>
        <item x="186"/>
        <item x="218"/>
        <item x="15"/>
        <item x="78"/>
        <item x="139"/>
        <item x="75"/>
        <item x="187"/>
        <item x="124"/>
        <item x="126"/>
        <item x="32"/>
        <item x="101"/>
        <item x="38"/>
        <item x="36"/>
        <item x="40"/>
        <item x="74"/>
        <item x="68"/>
        <item x="72"/>
        <item x="33"/>
        <item x="29"/>
        <item x="28"/>
        <item x="129"/>
        <item x="87"/>
        <item x="3"/>
        <item x="48"/>
        <item x="180"/>
        <item x="217"/>
        <item x="197"/>
        <item x="133"/>
        <item x="207"/>
        <item x="82"/>
        <item x="61"/>
        <item x="200"/>
        <item x="9"/>
        <item x="119"/>
        <item x="167"/>
        <item x="136"/>
        <item x="190"/>
        <item x="93"/>
        <item x="52"/>
        <item x="146"/>
        <item x="102"/>
        <item x="21"/>
        <item x="221"/>
        <item x="166"/>
        <item x="11"/>
        <item x="181"/>
        <item x="120"/>
        <item x="202"/>
        <item x="135"/>
        <item x="80"/>
        <item x="100"/>
        <item x="39"/>
        <item x="170"/>
        <item x="125"/>
        <item x="118"/>
        <item x="147"/>
        <item x="45"/>
        <item x="89"/>
        <item x="1"/>
        <item x="219"/>
        <item x="184"/>
        <item x="17"/>
        <item x="106"/>
        <item x="56"/>
        <item x="138"/>
        <item x="209"/>
        <item x="58"/>
        <item x="157"/>
        <item x="216"/>
        <item x="25"/>
        <item x="110"/>
        <item x="195"/>
        <item x="162"/>
        <item x="163"/>
        <item x="109"/>
        <item x="14"/>
        <item x="156"/>
        <item x="64"/>
        <item x="185"/>
        <item x="79"/>
        <item x="164"/>
        <item x="19"/>
        <item x="91"/>
        <item x="193"/>
        <item x="220"/>
        <item x="104"/>
        <item x="175"/>
        <item x="54"/>
        <item x="174"/>
        <item x="63"/>
        <item x="6"/>
        <item x="111"/>
        <item x="84"/>
        <item x="152"/>
        <item x="132"/>
        <item x="168"/>
        <item x="7"/>
        <item x="205"/>
        <item x="178"/>
        <item x="153"/>
        <item x="113"/>
        <item x="83"/>
        <item t="default"/>
      </items>
      <autoSortScope>
        <pivotArea dataOnly="0" outline="0" fieldPosition="0">
          <references count="1">
            <reference field="4294967294" count="1" selected="0">
              <x v="3"/>
            </reference>
          </references>
        </pivotArea>
      </autoSortScope>
    </pivotField>
    <pivotField showAll="0"/>
    <pivotField numFmtId="9" showAll="0"/>
    <pivotField numFmtId="9" showAll="0"/>
    <pivotField dataField="1" numFmtId="165" showAll="0"/>
    <pivotField dataField="1" numFmtId="165"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Fields count="1">
    <field x="9"/>
  </rowFields>
  <rowItems count="10">
    <i>
      <x v="87"/>
    </i>
    <i>
      <x v="170"/>
    </i>
    <i>
      <x v="178"/>
    </i>
    <i>
      <x v="15"/>
    </i>
    <i>
      <x v="93"/>
    </i>
    <i>
      <x v="21"/>
    </i>
    <i>
      <x v="45"/>
    </i>
    <i>
      <x v="129"/>
    </i>
    <i>
      <x v="8"/>
    </i>
    <i>
      <x v="42"/>
    </i>
  </rowItems>
  <colFields count="1">
    <field x="-2"/>
  </colFields>
  <colItems count="6">
    <i>
      <x/>
    </i>
    <i i="1">
      <x v="1"/>
    </i>
    <i i="2">
      <x v="2"/>
    </i>
    <i i="3">
      <x v="3"/>
    </i>
    <i i="4">
      <x v="4"/>
    </i>
    <i i="5">
      <x v="5"/>
    </i>
  </colItems>
  <dataFields count="6">
    <dataField name=" Total Calls" fld="2" baseField="8" baseItem="0"/>
    <dataField name="Total Calls Reached" fld="3" baseField="8" baseItem="3"/>
    <dataField name="Total Deals Closed" fld="5" baseField="8" baseItem="5"/>
    <dataField name="Total Revenue" fld="6" baseField="8" baseItem="0" numFmtId="166"/>
    <dataField name="Avg Revenue per Deal" fld="13" subtotal="average" baseField="8" baseItem="0" numFmtId="165"/>
    <dataField name="Avg Revenue per Call" fld="14" subtotal="average" baseField="8" baseItem="1" numFmtId="165"/>
  </dataFields>
  <formats count="1">
    <format dxfId="3">
      <pivotArea outline="0" collapsedLevelsAreSubtotals="1" fieldPosition="0">
        <references count="1">
          <reference field="4294967294" count="1" selected="0">
            <x v="3"/>
          </reference>
        </references>
      </pivotArea>
    </format>
  </formats>
  <chartFormats count="3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5" series="1">
      <pivotArea type="data" outline="0" fieldPosition="0">
        <references count="1">
          <reference field="4294967294" count="1" selected="0">
            <x v="4"/>
          </reference>
        </references>
      </pivotArea>
    </chartFormat>
    <chartFormat chart="10" format="6" series="1">
      <pivotArea type="data" outline="0" fieldPosition="0">
        <references count="1">
          <reference field="4294967294" count="1" selected="0">
            <x v="5"/>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5" series="1">
      <pivotArea type="data" outline="0" fieldPosition="0">
        <references count="1">
          <reference field="4294967294" count="1" selected="0">
            <x v="4"/>
          </reference>
        </references>
      </pivotArea>
    </chartFormat>
    <chartFormat chart="11" format="6" series="1">
      <pivotArea type="data" outline="0" fieldPosition="0">
        <references count="1">
          <reference field="4294967294" count="1" selected="0">
            <x v="5"/>
          </reference>
        </references>
      </pivotArea>
    </chartFormat>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2"/>
          </reference>
        </references>
      </pivotArea>
    </chartFormat>
    <chartFormat chart="14" format="10" series="1">
      <pivotArea type="data" outline="0" fieldPosition="0">
        <references count="1">
          <reference field="4294967294" count="1" selected="0">
            <x v="3"/>
          </reference>
        </references>
      </pivotArea>
    </chartFormat>
    <chartFormat chart="14" format="12" series="1">
      <pivotArea type="data" outline="0" fieldPosition="0">
        <references count="1">
          <reference field="4294967294" count="1" selected="0">
            <x v="4"/>
          </reference>
        </references>
      </pivotArea>
    </chartFormat>
    <chartFormat chart="14" format="13" series="1">
      <pivotArea type="data" outline="0" fieldPosition="0">
        <references count="1">
          <reference field="4294967294" count="1" selected="0">
            <x v="5"/>
          </reference>
        </references>
      </pivotArea>
    </chartFormat>
    <chartFormat chart="15" format="14" series="1">
      <pivotArea type="data" outline="0" fieldPosition="0">
        <references count="1">
          <reference field="4294967294" count="1" selected="0">
            <x v="0"/>
          </reference>
        </references>
      </pivotArea>
    </chartFormat>
    <chartFormat chart="15" format="15" series="1">
      <pivotArea type="data" outline="0" fieldPosition="0">
        <references count="1">
          <reference field="4294967294" count="1" selected="0">
            <x v="1"/>
          </reference>
        </references>
      </pivotArea>
    </chartFormat>
    <chartFormat chart="15" format="16" series="1">
      <pivotArea type="data" outline="0" fieldPosition="0">
        <references count="1">
          <reference field="4294967294" count="1" selected="0">
            <x v="2"/>
          </reference>
        </references>
      </pivotArea>
    </chartFormat>
    <chartFormat chart="15" format="17" series="1">
      <pivotArea type="data" outline="0" fieldPosition="0">
        <references count="1">
          <reference field="4294967294" count="1" selected="0">
            <x v="3"/>
          </reference>
        </references>
      </pivotArea>
    </chartFormat>
    <chartFormat chart="15" format="19" series="1">
      <pivotArea type="data" outline="0" fieldPosition="0">
        <references count="1">
          <reference field="4294967294" count="1" selected="0">
            <x v="4"/>
          </reference>
        </references>
      </pivotArea>
    </chartFormat>
    <chartFormat chart="15" format="20" series="1">
      <pivotArea type="data" outline="0" fieldPosition="0">
        <references count="1">
          <reference field="4294967294" count="1" selected="0">
            <x v="5"/>
          </reference>
        </references>
      </pivotArea>
    </chartFormat>
    <chartFormat chart="16" format="14"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1"/>
          </reference>
        </references>
      </pivotArea>
    </chartFormat>
    <chartFormat chart="16" format="16" series="1">
      <pivotArea type="data" outline="0" fieldPosition="0">
        <references count="1">
          <reference field="4294967294" count="1" selected="0">
            <x v="2"/>
          </reference>
        </references>
      </pivotArea>
    </chartFormat>
    <chartFormat chart="16" format="17" series="1">
      <pivotArea type="data" outline="0" fieldPosition="0">
        <references count="1">
          <reference field="4294967294" count="1" selected="0">
            <x v="3"/>
          </reference>
        </references>
      </pivotArea>
    </chartFormat>
    <chartFormat chart="16" format="19" series="1">
      <pivotArea type="data" outline="0" fieldPosition="0">
        <references count="1">
          <reference field="4294967294" count="1" selected="0">
            <x v="4"/>
          </reference>
        </references>
      </pivotArea>
    </chartFormat>
    <chartFormat chart="16" format="20" series="1">
      <pivotArea type="data" outline="0" fieldPosition="0">
        <references count="1">
          <reference field="4294967294" count="1" selected="0">
            <x v="5"/>
          </reference>
        </references>
      </pivotArea>
    </chartFormat>
    <chartFormat chart="19" format="28" series="1">
      <pivotArea type="data" outline="0" fieldPosition="0">
        <references count="1">
          <reference field="4294967294" count="1" selected="0">
            <x v="0"/>
          </reference>
        </references>
      </pivotArea>
    </chartFormat>
    <chartFormat chart="19" format="29" series="1">
      <pivotArea type="data" outline="0" fieldPosition="0">
        <references count="1">
          <reference field="4294967294" count="1" selected="0">
            <x v="1"/>
          </reference>
        </references>
      </pivotArea>
    </chartFormat>
    <chartFormat chart="19" format="30" series="1">
      <pivotArea type="data" outline="0" fieldPosition="0">
        <references count="1">
          <reference field="4294967294" count="1" selected="0">
            <x v="2"/>
          </reference>
        </references>
      </pivotArea>
    </chartFormat>
    <chartFormat chart="19" format="31" series="1">
      <pivotArea type="data" outline="0" fieldPosition="0">
        <references count="1">
          <reference field="4294967294" count="1" selected="0">
            <x v="3"/>
          </reference>
        </references>
      </pivotArea>
    </chartFormat>
    <chartFormat chart="19" format="33" series="1">
      <pivotArea type="data" outline="0" fieldPosition="0">
        <references count="1">
          <reference field="4294967294" count="1" selected="0">
            <x v="4"/>
          </reference>
        </references>
      </pivotArea>
    </chartFormat>
    <chartFormat chart="19" format="34"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filters count="1">
    <filter fld="9" type="count" evalOrder="-1" id="1" iMeasureFld="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77D104-B454-4211-83F9-22A25B15FD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onversion Category">
  <location ref="A3:C6" firstHeaderRow="0" firstDataRow="1" firstDataCol="1"/>
  <pivotFields count="17">
    <pivotField numFmtId="16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13">
        <item x="0"/>
        <item x="1"/>
        <item x="2"/>
        <item x="3"/>
        <item x="4"/>
        <item x="5"/>
        <item x="6"/>
        <item x="7"/>
        <item x="8"/>
        <item x="9"/>
        <item x="10"/>
        <item x="11"/>
        <item t="default"/>
      </items>
    </pivotField>
    <pivotField showAll="0"/>
    <pivotField showAll="0"/>
    <pivotField numFmtId="2" showAll="0"/>
    <pivotField showAll="0"/>
    <pivotField dataField="1" numFmtId="165" showAll="0"/>
    <pivotField showAll="0"/>
    <pivotField showAll="0"/>
    <pivotField dataField="1" showAll="0"/>
    <pivotField showAll="0"/>
    <pivotField numFmtId="9" showAll="0"/>
    <pivotField numFmtId="9" showAll="0"/>
    <pivotField numFmtId="165" showAll="0"/>
    <pivotField numFmtId="165" showAll="0"/>
    <pivotField axis="axisRow" showAll="0" sortType="descending">
      <items count="3">
        <item x="0"/>
        <item x="1"/>
        <item t="default"/>
      </items>
      <autoSortScope>
        <pivotArea dataOnly="0" outline="0" fieldPosition="0">
          <references count="1">
            <reference field="4294967294" count="1" selected="0">
              <x v="1"/>
            </reference>
          </references>
        </pivotArea>
      </autoSortScope>
    </pivotField>
    <pivotField showAll="0">
      <items count="15">
        <item x="0"/>
        <item x="1"/>
        <item x="2"/>
        <item x="3"/>
        <item x="4"/>
        <item x="5"/>
        <item x="6"/>
        <item x="7"/>
        <item x="8"/>
        <item x="9"/>
        <item x="10"/>
        <item x="11"/>
        <item x="12"/>
        <item x="13"/>
        <item t="default"/>
      </items>
    </pivotField>
  </pivotFields>
  <rowFields count="1">
    <field x="15"/>
  </rowFields>
  <rowItems count="3">
    <i>
      <x/>
    </i>
    <i>
      <x v="1"/>
    </i>
    <i t="grand">
      <x/>
    </i>
  </rowItems>
  <colFields count="1">
    <field x="-2"/>
  </colFields>
  <colItems count="2">
    <i>
      <x/>
    </i>
    <i i="1">
      <x v="1"/>
    </i>
  </colItems>
  <dataFields count="2">
    <dataField name="Number of Agents" fld="9" subtotal="count" baseField="14" baseItem="0"/>
    <dataField name="Total Revenue" fld="6" baseField="0" baseItem="0" numFmtId="166"/>
  </dataFields>
  <formats count="1">
    <format dxfId="2">
      <pivotArea outline="0" collapsedLevelsAreSubtotals="1" fieldPosition="0">
        <references count="1">
          <reference field="4294967294" count="1" selected="0">
            <x v="1"/>
          </reference>
        </references>
      </pivotArea>
    </format>
  </formats>
  <chartFormats count="2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5" count="1" selected="0">
            <x v="0"/>
          </reference>
        </references>
      </pivotArea>
    </chartFormat>
    <chartFormat chart="10" format="4">
      <pivotArea type="data" outline="0" fieldPosition="0">
        <references count="2">
          <reference field="4294967294" count="1" selected="0">
            <x v="0"/>
          </reference>
          <reference field="15" count="1" selected="0">
            <x v="1"/>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1"/>
          </reference>
          <reference field="15" count="1" selected="0">
            <x v="0"/>
          </reference>
        </references>
      </pivotArea>
    </chartFormat>
    <chartFormat chart="10" format="7">
      <pivotArea type="data" outline="0" fieldPosition="0">
        <references count="2">
          <reference field="4294967294" count="1" selected="0">
            <x v="1"/>
          </reference>
          <reference field="15"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5" count="1" selected="0">
            <x v="0"/>
          </reference>
        </references>
      </pivotArea>
    </chartFormat>
    <chartFormat chart="11" format="10">
      <pivotArea type="data" outline="0" fieldPosition="0">
        <references count="2">
          <reference field="4294967294" count="1" selected="0">
            <x v="0"/>
          </reference>
          <reference field="15" count="1" selected="0">
            <x v="1"/>
          </reference>
        </references>
      </pivotArea>
    </chartFormat>
    <chartFormat chart="11" format="11" series="1">
      <pivotArea type="data" outline="0" fieldPosition="0">
        <references count="1">
          <reference field="4294967294" count="1" selected="0">
            <x v="1"/>
          </reference>
        </references>
      </pivotArea>
    </chartFormat>
    <chartFormat chart="11" format="12">
      <pivotArea type="data" outline="0" fieldPosition="0">
        <references count="2">
          <reference field="4294967294" count="1" selected="0">
            <x v="1"/>
          </reference>
          <reference field="15" count="1" selected="0">
            <x v="0"/>
          </reference>
        </references>
      </pivotArea>
    </chartFormat>
    <chartFormat chart="11" format="13">
      <pivotArea type="data" outline="0" fieldPosition="0">
        <references count="2">
          <reference field="4294967294" count="1" selected="0">
            <x v="1"/>
          </reference>
          <reference field="15"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135CF0-5C18-474E-8A5C-14EC7D7E50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Month">
  <location ref="A3:B16" firstHeaderRow="1" firstDataRow="1" firstDataCol="1"/>
  <pivotFields count="17">
    <pivotField numFmtId="16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showAll="0">
      <items count="13">
        <item x="0"/>
        <item x="1"/>
        <item x="2"/>
        <item x="3"/>
        <item x="4"/>
        <item x="5"/>
        <item x="6"/>
        <item x="7"/>
        <item x="8"/>
        <item x="9"/>
        <item x="10"/>
        <item x="11"/>
        <item t="default"/>
      </items>
    </pivotField>
    <pivotField showAll="0"/>
    <pivotField showAll="0"/>
    <pivotField numFmtId="2" showAll="0"/>
    <pivotField showAll="0"/>
    <pivotField dataField="1" numFmtId="165" showAll="0"/>
    <pivotField showAll="0"/>
    <pivotField showAll="0"/>
    <pivotField showAll="0"/>
    <pivotField showAll="0"/>
    <pivotField numFmtId="9" showAll="0"/>
    <pivotField numFmtId="9" showAll="0"/>
    <pivotField numFmtId="165" showAll="0"/>
    <pivotField numFmtId="165"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Total Revenue" fld="6" baseField="0" baseItem="0" numFmtId="166"/>
  </dataFields>
  <formats count="1">
    <format dxfId="1">
      <pivotArea outline="0" collapsedLevelsAreSubtotals="1" fieldPosition="0">
        <references count="1">
          <reference field="4294967294" count="1" selected="0">
            <x v="0"/>
          </reference>
        </references>
      </pivotArea>
    </format>
  </formats>
  <chartFormats count="9">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0"/>
          </reference>
        </references>
      </pivotArea>
    </chartFormat>
    <chartFormat chart="58" format="3" series="1">
      <pivotArea type="data" outline="0" fieldPosition="0">
        <references count="1">
          <reference field="4294967294" count="1" selected="0">
            <x v="0"/>
          </reference>
        </references>
      </pivotArea>
    </chartFormat>
    <chartFormat chart="59" format="5"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6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44AD7F-4307-45B1-9D3B-26DEEEF3D3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rowHeaderCaption="Month">
  <location ref="A22:B35" firstHeaderRow="1" firstDataRow="1" firstDataCol="1"/>
  <pivotFields count="17">
    <pivotField numFmtId="16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showAll="0">
      <items count="13">
        <item x="0"/>
        <item x="1"/>
        <item x="2"/>
        <item x="3"/>
        <item x="4"/>
        <item x="5"/>
        <item x="6"/>
        <item x="7"/>
        <item x="8"/>
        <item x="9"/>
        <item x="10"/>
        <item x="11"/>
        <item t="default"/>
      </items>
    </pivotField>
    <pivotField dataField="1" showAll="0"/>
    <pivotField showAll="0"/>
    <pivotField numFmtId="2" showAll="0"/>
    <pivotField showAll="0"/>
    <pivotField numFmtId="165" showAll="0"/>
    <pivotField showAll="0"/>
    <pivotField showAll="0"/>
    <pivotField showAll="0"/>
    <pivotField showAll="0"/>
    <pivotField numFmtId="9" showAll="0"/>
    <pivotField numFmtId="9" showAll="0"/>
    <pivotField numFmtId="165" showAll="0"/>
    <pivotField numFmtId="165"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 Total Calls" fld="2" baseField="0" baseItem="0"/>
  </dataFields>
  <chartFormats count="2">
    <chartFormat chart="91" format="2"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4CFA68-ACC9-4AD8-84F5-AE703C53D4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7">
    <pivotField numFmtId="16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items count="13">
        <item x="0"/>
        <item x="1"/>
        <item x="2"/>
        <item x="3"/>
        <item x="4"/>
        <item x="5"/>
        <item x="6"/>
        <item x="7"/>
        <item x="8"/>
        <item x="9"/>
        <item x="10"/>
        <item x="11"/>
        <item t="default"/>
      </items>
    </pivotField>
    <pivotField dataField="1" showAll="0"/>
    <pivotField dataField="1" showAll="0"/>
    <pivotField numFmtId="2" showAll="0"/>
    <pivotField dataField="1" showAll="0"/>
    <pivotField dataField="1" numFmtId="165" showAll="0"/>
    <pivotField showAll="0"/>
    <pivotField showAll="0"/>
    <pivotField showAll="0"/>
    <pivotField showAll="0"/>
    <pivotField numFmtId="9" showAll="0"/>
    <pivotField numFmtId="9" showAll="0"/>
    <pivotField dataField="1" numFmtId="165" showAll="0"/>
    <pivotField dataField="1" numFmtId="165" showAll="0"/>
    <pivotField showAll="0">
      <items count="3">
        <item x="0"/>
        <item x="1"/>
        <item t="default"/>
      </items>
    </pivotField>
    <pivotField showAll="0" defaultSubtotal="0">
      <items count="14">
        <item x="0"/>
        <item x="1"/>
        <item x="2"/>
        <item x="3"/>
        <item x="4"/>
        <item x="5"/>
        <item x="6"/>
        <item x="7"/>
        <item x="8"/>
        <item x="9"/>
        <item x="10"/>
        <item x="11"/>
        <item x="12"/>
        <item x="13"/>
      </items>
    </pivotField>
  </pivotFields>
  <rowItems count="1">
    <i/>
  </rowItems>
  <colFields count="1">
    <field x="-2"/>
  </colFields>
  <colItems count="6">
    <i>
      <x/>
    </i>
    <i i="1">
      <x v="1"/>
    </i>
    <i i="2">
      <x v="2"/>
    </i>
    <i i="3">
      <x v="3"/>
    </i>
    <i i="4">
      <x v="4"/>
    </i>
    <i i="5">
      <x v="5"/>
    </i>
  </colItems>
  <dataFields count="6">
    <dataField name="Total Revenue" fld="6" baseField="0" baseItem="1" numFmtId="166"/>
    <dataField name=" Total Calls" fld="2" baseField="0" baseItem="0"/>
    <dataField name=" Deals Closed" fld="5" baseField="0" baseItem="2"/>
    <dataField name=" Calls Reached" fld="3" baseField="0" baseItem="3"/>
    <dataField name="Avg Revenue per Deal" fld="13" subtotal="average" baseField="0" baseItem="5" numFmtId="165"/>
    <dataField name="Avg Revenue per Call" fld="14" subtotal="average" baseField="0" baseItem="6" numFmtId="165"/>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sion_Category" xr10:uid="{0149238D-A4AC-451E-97D2-6E792DB4C96A}" sourceName="Conversion Category">
  <pivotTables>
    <pivotTable tabId="7" name="PivotTable2"/>
    <pivotTable tabId="5" name="PivotTable1"/>
    <pivotTable tabId="12" name="PivotTable1"/>
    <pivotTable tabId="8" name="PivotTable1"/>
    <pivotTable tabId="8" name="PivotTable2"/>
  </pivotTables>
  <data>
    <tabular pivotCacheId="4182193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60EB430-8A77-4C21-AA9E-E3B2A77C577A}" sourceName="Month">
  <pivotTables>
    <pivotTable tabId="8" name="PivotTable1"/>
    <pivotTable tabId="5" name="PivotTable1"/>
    <pivotTable tabId="7" name="PivotTable2"/>
    <pivotTable tabId="12" name="PivotTable1"/>
    <pivotTable tabId="8" name="PivotTable2"/>
  </pivotTables>
  <data>
    <tabular pivotCacheId="41821934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version Category" xr10:uid="{F374E993-31EE-43FB-9352-694DACD60168}" cache="Slicer_Conversion_Category" caption="Conversion Category" style="Slicer Style 1" rowHeight="241300"/>
  <slicer name="Month" xr10:uid="{C4CB1652-F5FA-431C-9544-AAF62F14D2BC}" cache="Slicer_Month" caption="Month" columnCount="3"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074DD8-C54B-4DD7-A767-6055FCB5DC0D}" name="Table1" displayName="Table1" ref="A1:I566" totalsRowShown="0" headerRowDxfId="23" headerRowBorderDxfId="22" tableBorderDxfId="21">
  <autoFilter ref="A1:I566" xr:uid="{02074DD8-C54B-4DD7-A767-6055FCB5DC0D}"/>
  <tableColumns count="9">
    <tableColumn id="1" xr3:uid="{6B07DFA4-ED28-4539-B9DE-0008AA413B3C}" name="Date" dataDxfId="20"/>
    <tableColumn id="2" xr3:uid="{C09CD166-D6F4-46F3-B21A-F79BF96A9150}" name="Total Calls"/>
    <tableColumn id="3" xr3:uid="{7F8C034B-6CDB-4510-AD44-8C8272A1E662}" name="Calls Reached"/>
    <tableColumn id="4" xr3:uid="{4AB36658-9869-44D5-924A-D40E576FD907}" name="Average Duration (sec)"/>
    <tableColumn id="5" xr3:uid="{E29AD4A0-E309-47FC-B676-02C85FAC3FE7}" name="Deals Closed"/>
    <tableColumn id="7" xr3:uid="{E45E67DC-72CB-40A6-A053-EA2756494A19}" name="Deal Value ($)"/>
    <tableColumn id="9" xr3:uid="{8871C403-C301-4A14-AFD0-2AE683906EC8}" name="First Name"/>
    <tableColumn id="10" xr3:uid="{D492C104-FE40-423B-B276-803D2DD5DAF5}" name="Last Name"/>
    <tableColumn id="11" xr3:uid="{B7F2223C-50DF-45B3-8DAD-C7C2828D2667}" name="Gend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B71520-70A4-4E32-97EE-EF9C01E587BC}" name="Table13" displayName="Table13" ref="A1:I566" totalsRowShown="0" headerRowDxfId="19" headerRowBorderDxfId="18" tableBorderDxfId="17">
  <autoFilter ref="A1:I566" xr:uid="{02074DD8-C54B-4DD7-A767-6055FCB5DC0D}"/>
  <tableColumns count="9">
    <tableColumn id="1" xr3:uid="{88083B1C-8867-4AD0-BF16-A10098B7ABE2}" name="Date" dataDxfId="16"/>
    <tableColumn id="2" xr3:uid="{6ADDAE1A-B26D-4999-B0F7-6C69FF931A8A}" name="Total Calls"/>
    <tableColumn id="3" xr3:uid="{706DCB3C-A427-40A0-8180-35E2B62AC0E8}" name="Calls Reached"/>
    <tableColumn id="4" xr3:uid="{D7D0C013-0458-4BF6-81E1-FDDBF5FD48C8}" name="Average Duration (sec)" dataDxfId="15"/>
    <tableColumn id="5" xr3:uid="{65AACAB6-B89D-4B13-BBD9-33C761FA5FA6}" name="Deals Closed"/>
    <tableColumn id="7" xr3:uid="{EE967615-3F89-44A2-992F-97C08DB5823D}" name="Deal Value ($)"/>
    <tableColumn id="9" xr3:uid="{03326078-3DF5-4007-A848-3FDE1EF4E1B8}" name="First Name"/>
    <tableColumn id="10" xr3:uid="{610181E6-C691-4D26-ABCC-B5D075FE88C3}" name="Last Name"/>
    <tableColumn id="11" xr3:uid="{C8E9951C-4299-47B1-98AC-998031A87182}" name="Gender"/>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2E9EF3-0320-47C0-B676-16F3AEB77DE9}" name="Table134" displayName="Table134" ref="A1:P566" totalsRowShown="0" headerRowDxfId="14" headerRowBorderDxfId="13" tableBorderDxfId="12">
  <autoFilter ref="A1:P566" xr:uid="{02074DD8-C54B-4DD7-A767-6055FCB5DC0D}"/>
  <tableColumns count="16">
    <tableColumn id="1" xr3:uid="{929F26E2-A866-4602-8837-EE7620239B59}" name="Date" dataDxfId="11"/>
    <tableColumn id="17" xr3:uid="{CC77DCC6-B3A5-462B-9E63-CC4BB6CE1A78}" name="Month" dataDxfId="10">
      <calculatedColumnFormula>TEXT(Table134[[#This Row],[Date]],"MMM")</calculatedColumnFormula>
    </tableColumn>
    <tableColumn id="2" xr3:uid="{2DFB2045-9568-4652-9E68-419D429AE90D}" name="Total Calls"/>
    <tableColumn id="3" xr3:uid="{99CFFD62-9694-4E2F-8E14-685B3DD645F6}" name="Calls Reached"/>
    <tableColumn id="4" xr3:uid="{7315C87C-672D-4118-9BE8-A4239E4E5B83}" name="Average Duration (sec)" dataDxfId="9"/>
    <tableColumn id="5" xr3:uid="{2743C370-807A-4CFD-B713-6C395542730D}" name="Deals Closed"/>
    <tableColumn id="7" xr3:uid="{A161DA34-B49F-4CB6-8302-CE085837C3DF}" name="Deal Value ($)" dataDxfId="8"/>
    <tableColumn id="9" xr3:uid="{46B5DDEF-1F26-4C01-8129-26E3D833895D}" name="First Name"/>
    <tableColumn id="10" xr3:uid="{6D38B573-EE4B-4880-9EF4-A57B248C6639}" name="Last Name"/>
    <tableColumn id="8" xr3:uid="{0FEAE655-AFF7-47C3-BAE4-683165454E7B}" name="Agent Name" dataDxfId="7">
      <calculatedColumnFormula>Table134[[#This Row],[First Name]]&amp;" "&amp;Table134[[#This Row],[Last Name]]</calculatedColumnFormula>
    </tableColumn>
    <tableColumn id="11" xr3:uid="{8FAA54B1-F16E-4C40-B5FA-87DD7A5600C3}" name="Gender"/>
    <tableColumn id="12" xr3:uid="{5FCA73BD-90A0-47E5-A939-DE774502EA7F}" name="Reach Rate" dataCellStyle="Percent">
      <calculatedColumnFormula>Table134[[#This Row],[Calls Reached]]/Table134[[#This Row],[Total Calls]]</calculatedColumnFormula>
    </tableColumn>
    <tableColumn id="13" xr3:uid="{91C4F6D7-C81C-47C5-BA52-6CB659B60812}" name="Conversion Rate" dataCellStyle="Percent">
      <calculatedColumnFormula>Table134[[#This Row],[Deals Closed]]/Table134[[#This Row],[Calls Reached]]</calculatedColumnFormula>
    </tableColumn>
    <tableColumn id="14" xr3:uid="{EF65E290-46AB-4D8E-964F-D0CDB28303E7}" name="Revenue per Deal" dataDxfId="6">
      <calculatedColumnFormula>IFERROR(Table134[[#This Row],[Deal Value ($)]]/Table134[[#This Row],[Deals Closed]],0)</calculatedColumnFormula>
    </tableColumn>
    <tableColumn id="6" xr3:uid="{938E6FD4-24F3-4D58-8279-617B3F571412}" name="Revenue per Call" dataDxfId="5">
      <calculatedColumnFormula>Table134[[#This Row],[Deal Value ($)]]/Table134[[#This Row],[Total Calls]]</calculatedColumnFormula>
    </tableColumn>
    <tableColumn id="15" xr3:uid="{61CF9417-2327-4EF6-A525-0889F957791B}" name="Conversion Category" dataDxfId="4">
      <calculatedColumnFormula>IF(Table134[[#This Row],[Conversion Rate]]&gt;=20%,"High","Low")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6"/>
  <sheetViews>
    <sheetView workbookViewId="0">
      <selection activeCell="M13" sqref="M13"/>
    </sheetView>
  </sheetViews>
  <sheetFormatPr defaultRowHeight="15" x14ac:dyDescent="0.25"/>
  <cols>
    <col min="1" max="1" width="17.85546875" bestFit="1" customWidth="1"/>
    <col min="2" max="2" width="11.42578125" customWidth="1"/>
    <col min="3" max="3" width="14.140625" customWidth="1"/>
    <col min="4" max="4" width="21.85546875" customWidth="1"/>
    <col min="5" max="5" width="13.42578125" customWidth="1"/>
    <col min="6" max="6" width="14.42578125" customWidth="1"/>
    <col min="7" max="7" width="11.85546875" customWidth="1"/>
    <col min="8" max="8" width="11.5703125" customWidth="1"/>
    <col min="9" max="9" width="9" customWidth="1"/>
  </cols>
  <sheetData>
    <row r="1" spans="1:9" x14ac:dyDescent="0.25">
      <c r="A1" s="1" t="s">
        <v>0</v>
      </c>
      <c r="B1" s="1" t="s">
        <v>1</v>
      </c>
      <c r="C1" s="1" t="s">
        <v>2</v>
      </c>
      <c r="D1" s="1" t="s">
        <v>3</v>
      </c>
      <c r="E1" s="1" t="s">
        <v>4</v>
      </c>
      <c r="F1" s="1" t="s">
        <v>5</v>
      </c>
      <c r="G1" s="1" t="s">
        <v>6</v>
      </c>
      <c r="H1" s="1" t="s">
        <v>7</v>
      </c>
      <c r="I1" s="1" t="s">
        <v>8</v>
      </c>
    </row>
    <row r="2" spans="1:9" x14ac:dyDescent="0.25">
      <c r="A2" s="2">
        <v>45292</v>
      </c>
      <c r="B2">
        <v>74</v>
      </c>
      <c r="C2">
        <v>12</v>
      </c>
      <c r="D2">
        <v>330.42</v>
      </c>
      <c r="E2">
        <v>7</v>
      </c>
      <c r="F2">
        <v>4276.3100000000004</v>
      </c>
      <c r="G2" t="s">
        <v>9</v>
      </c>
      <c r="H2" t="s">
        <v>35</v>
      </c>
      <c r="I2" t="s">
        <v>45</v>
      </c>
    </row>
    <row r="3" spans="1:9" x14ac:dyDescent="0.25">
      <c r="A3" s="2">
        <v>45292</v>
      </c>
      <c r="B3">
        <v>43</v>
      </c>
      <c r="C3">
        <v>15</v>
      </c>
      <c r="D3">
        <v>363.48</v>
      </c>
      <c r="E3">
        <v>7</v>
      </c>
      <c r="F3">
        <v>3843.52</v>
      </c>
      <c r="G3" t="s">
        <v>34</v>
      </c>
      <c r="H3" t="s">
        <v>43</v>
      </c>
      <c r="I3" t="s">
        <v>46</v>
      </c>
    </row>
    <row r="4" spans="1:9" x14ac:dyDescent="0.25">
      <c r="A4" s="2">
        <v>45292</v>
      </c>
      <c r="B4">
        <v>92</v>
      </c>
      <c r="C4">
        <v>13</v>
      </c>
      <c r="D4">
        <v>422.39</v>
      </c>
      <c r="E4">
        <v>1</v>
      </c>
      <c r="F4">
        <v>2695.84</v>
      </c>
      <c r="G4" t="s">
        <v>32</v>
      </c>
      <c r="H4" t="s">
        <v>42</v>
      </c>
      <c r="I4" t="s">
        <v>46</v>
      </c>
    </row>
    <row r="5" spans="1:9" x14ac:dyDescent="0.25">
      <c r="A5" s="2">
        <v>45292</v>
      </c>
      <c r="B5">
        <v>63</v>
      </c>
      <c r="C5">
        <v>8</v>
      </c>
      <c r="D5">
        <v>170.49</v>
      </c>
      <c r="E5">
        <v>7</v>
      </c>
      <c r="F5">
        <v>526.12</v>
      </c>
      <c r="G5" t="s">
        <v>31</v>
      </c>
      <c r="H5" t="s">
        <v>37</v>
      </c>
      <c r="I5" t="s">
        <v>45</v>
      </c>
    </row>
    <row r="6" spans="1:9" x14ac:dyDescent="0.25">
      <c r="A6" s="2">
        <v>45292</v>
      </c>
      <c r="B6">
        <v>96</v>
      </c>
      <c r="C6">
        <v>80</v>
      </c>
      <c r="D6">
        <v>532.83000000000004</v>
      </c>
      <c r="E6">
        <v>40</v>
      </c>
      <c r="F6">
        <v>3173.13</v>
      </c>
      <c r="G6" t="s">
        <v>30</v>
      </c>
      <c r="H6" t="s">
        <v>37</v>
      </c>
      <c r="I6" t="s">
        <v>46</v>
      </c>
    </row>
    <row r="7" spans="1:9" x14ac:dyDescent="0.25">
      <c r="A7" s="2">
        <v>45292</v>
      </c>
      <c r="B7">
        <v>100</v>
      </c>
      <c r="C7">
        <v>60</v>
      </c>
      <c r="D7">
        <v>279.95</v>
      </c>
      <c r="E7">
        <v>50</v>
      </c>
      <c r="F7">
        <v>1432.23</v>
      </c>
      <c r="G7" t="s">
        <v>29</v>
      </c>
      <c r="H7" t="s">
        <v>38</v>
      </c>
      <c r="I7" t="s">
        <v>45</v>
      </c>
    </row>
    <row r="8" spans="1:9" x14ac:dyDescent="0.25">
      <c r="A8" s="2">
        <v>45292</v>
      </c>
      <c r="B8">
        <v>73</v>
      </c>
      <c r="C8">
        <v>12</v>
      </c>
      <c r="D8">
        <v>507.45</v>
      </c>
      <c r="E8">
        <v>0</v>
      </c>
      <c r="F8">
        <v>1123.8399999999999</v>
      </c>
      <c r="G8" t="s">
        <v>28</v>
      </c>
      <c r="H8" t="s">
        <v>39</v>
      </c>
      <c r="I8" t="s">
        <v>45</v>
      </c>
    </row>
    <row r="9" spans="1:9" x14ac:dyDescent="0.25">
      <c r="A9" s="2">
        <v>45292</v>
      </c>
      <c r="B9">
        <v>92</v>
      </c>
      <c r="C9">
        <v>20</v>
      </c>
      <c r="D9">
        <v>161.41999999999999</v>
      </c>
      <c r="E9">
        <v>4</v>
      </c>
      <c r="F9">
        <v>425.41</v>
      </c>
      <c r="G9" t="s">
        <v>27</v>
      </c>
      <c r="H9" t="s">
        <v>35</v>
      </c>
      <c r="I9" t="s">
        <v>46</v>
      </c>
    </row>
    <row r="10" spans="1:9" x14ac:dyDescent="0.25">
      <c r="A10" s="2">
        <v>45292</v>
      </c>
      <c r="B10">
        <v>31</v>
      </c>
      <c r="C10">
        <v>17</v>
      </c>
      <c r="D10">
        <v>476.95</v>
      </c>
      <c r="E10">
        <v>7</v>
      </c>
      <c r="F10">
        <v>3945.43</v>
      </c>
      <c r="G10" t="s">
        <v>26</v>
      </c>
      <c r="H10" t="s">
        <v>36</v>
      </c>
      <c r="I10" t="s">
        <v>46</v>
      </c>
    </row>
    <row r="11" spans="1:9" x14ac:dyDescent="0.25">
      <c r="A11" s="2">
        <v>45292</v>
      </c>
      <c r="B11">
        <v>81</v>
      </c>
      <c r="C11">
        <v>7</v>
      </c>
      <c r="D11">
        <v>82.43</v>
      </c>
      <c r="E11">
        <v>7</v>
      </c>
      <c r="F11">
        <v>3463.96</v>
      </c>
      <c r="G11" t="s">
        <v>25</v>
      </c>
      <c r="H11" t="s">
        <v>38</v>
      </c>
      <c r="I11" t="s">
        <v>45</v>
      </c>
    </row>
    <row r="12" spans="1:9" x14ac:dyDescent="0.25">
      <c r="A12" s="2">
        <v>45292</v>
      </c>
      <c r="B12">
        <v>82</v>
      </c>
      <c r="C12">
        <v>4</v>
      </c>
      <c r="D12">
        <v>180.06</v>
      </c>
      <c r="E12">
        <v>4</v>
      </c>
      <c r="F12">
        <v>1207.17</v>
      </c>
      <c r="G12" t="s">
        <v>24</v>
      </c>
      <c r="H12" t="s">
        <v>43</v>
      </c>
      <c r="I12" t="s">
        <v>45</v>
      </c>
    </row>
    <row r="13" spans="1:9" x14ac:dyDescent="0.25">
      <c r="A13" s="2">
        <v>45292</v>
      </c>
      <c r="B13">
        <v>54</v>
      </c>
      <c r="C13">
        <v>10</v>
      </c>
      <c r="D13">
        <v>208.23</v>
      </c>
      <c r="E13">
        <v>3</v>
      </c>
      <c r="F13">
        <v>645.83000000000004</v>
      </c>
      <c r="G13" t="s">
        <v>23</v>
      </c>
      <c r="H13" t="s">
        <v>37</v>
      </c>
      <c r="I13" t="s">
        <v>45</v>
      </c>
    </row>
    <row r="14" spans="1:9" x14ac:dyDescent="0.25">
      <c r="A14" s="2">
        <v>45292</v>
      </c>
      <c r="B14">
        <v>36</v>
      </c>
      <c r="C14">
        <v>9</v>
      </c>
      <c r="D14">
        <v>216.03</v>
      </c>
      <c r="E14">
        <v>2</v>
      </c>
      <c r="F14">
        <v>4072.07</v>
      </c>
      <c r="G14" t="s">
        <v>22</v>
      </c>
      <c r="H14" t="s">
        <v>41</v>
      </c>
      <c r="I14" t="s">
        <v>45</v>
      </c>
    </row>
    <row r="15" spans="1:9" x14ac:dyDescent="0.25">
      <c r="A15" s="2">
        <v>45292</v>
      </c>
      <c r="B15">
        <v>38</v>
      </c>
      <c r="C15">
        <v>10</v>
      </c>
      <c r="D15">
        <v>514.25</v>
      </c>
      <c r="E15">
        <v>4</v>
      </c>
      <c r="F15">
        <v>243.62</v>
      </c>
      <c r="G15" t="s">
        <v>33</v>
      </c>
      <c r="H15" t="s">
        <v>39</v>
      </c>
      <c r="I15" t="s">
        <v>45</v>
      </c>
    </row>
    <row r="16" spans="1:9" x14ac:dyDescent="0.25">
      <c r="A16" s="2">
        <v>45292</v>
      </c>
      <c r="B16">
        <v>36</v>
      </c>
      <c r="C16">
        <v>6</v>
      </c>
      <c r="D16">
        <v>547.6</v>
      </c>
      <c r="E16">
        <v>5</v>
      </c>
      <c r="F16">
        <v>3463.18</v>
      </c>
      <c r="G16" t="s">
        <v>20</v>
      </c>
      <c r="H16" t="s">
        <v>39</v>
      </c>
      <c r="I16" t="s">
        <v>45</v>
      </c>
    </row>
    <row r="17" spans="1:9" x14ac:dyDescent="0.25">
      <c r="A17" s="2">
        <v>45292</v>
      </c>
      <c r="B17">
        <v>18</v>
      </c>
      <c r="C17">
        <v>8</v>
      </c>
      <c r="D17">
        <v>206.81</v>
      </c>
      <c r="E17">
        <v>7</v>
      </c>
      <c r="F17">
        <v>720.56</v>
      </c>
      <c r="G17" t="s">
        <v>19</v>
      </c>
      <c r="H17" t="s">
        <v>39</v>
      </c>
      <c r="I17" t="s">
        <v>45</v>
      </c>
    </row>
    <row r="18" spans="1:9" x14ac:dyDescent="0.25">
      <c r="A18" s="2">
        <v>45292</v>
      </c>
      <c r="B18">
        <v>59</v>
      </c>
      <c r="C18">
        <v>13</v>
      </c>
      <c r="D18">
        <v>307.49</v>
      </c>
      <c r="E18">
        <v>10</v>
      </c>
      <c r="F18">
        <v>979.09</v>
      </c>
      <c r="G18" t="s">
        <v>18</v>
      </c>
      <c r="H18" t="s">
        <v>36</v>
      </c>
      <c r="I18" t="s">
        <v>45</v>
      </c>
    </row>
    <row r="19" spans="1:9" x14ac:dyDescent="0.25">
      <c r="A19" s="2">
        <v>45292</v>
      </c>
      <c r="B19">
        <v>34</v>
      </c>
      <c r="C19">
        <v>21</v>
      </c>
      <c r="D19">
        <v>362.62</v>
      </c>
      <c r="E19">
        <v>9</v>
      </c>
      <c r="F19">
        <v>1140.08</v>
      </c>
      <c r="G19" t="s">
        <v>17</v>
      </c>
      <c r="H19" t="s">
        <v>39</v>
      </c>
      <c r="I19" t="s">
        <v>45</v>
      </c>
    </row>
    <row r="20" spans="1:9" x14ac:dyDescent="0.25">
      <c r="A20" s="2">
        <v>45292</v>
      </c>
      <c r="B20">
        <v>60</v>
      </c>
      <c r="C20">
        <v>7</v>
      </c>
      <c r="D20">
        <v>251.7</v>
      </c>
      <c r="E20">
        <v>5</v>
      </c>
      <c r="F20">
        <v>3956.69</v>
      </c>
      <c r="G20" t="s">
        <v>16</v>
      </c>
      <c r="H20" t="s">
        <v>41</v>
      </c>
      <c r="I20" t="s">
        <v>46</v>
      </c>
    </row>
    <row r="21" spans="1:9" x14ac:dyDescent="0.25">
      <c r="A21" s="2">
        <v>45292</v>
      </c>
      <c r="B21">
        <v>68</v>
      </c>
      <c r="C21">
        <v>19</v>
      </c>
      <c r="D21">
        <v>290.39</v>
      </c>
      <c r="E21">
        <v>3</v>
      </c>
      <c r="F21">
        <v>2472.2399999999998</v>
      </c>
      <c r="G21" t="s">
        <v>15</v>
      </c>
      <c r="H21" t="s">
        <v>40</v>
      </c>
      <c r="I21" t="s">
        <v>45</v>
      </c>
    </row>
    <row r="22" spans="1:9" x14ac:dyDescent="0.25">
      <c r="A22" s="2">
        <v>45292</v>
      </c>
      <c r="B22">
        <v>59</v>
      </c>
      <c r="C22">
        <v>5</v>
      </c>
      <c r="D22">
        <v>520.05999999999995</v>
      </c>
      <c r="E22">
        <v>3</v>
      </c>
      <c r="F22">
        <v>3546.72</v>
      </c>
      <c r="G22" t="s">
        <v>14</v>
      </c>
      <c r="H22" t="s">
        <v>39</v>
      </c>
      <c r="I22" t="s">
        <v>45</v>
      </c>
    </row>
    <row r="23" spans="1:9" x14ac:dyDescent="0.25">
      <c r="A23" s="2">
        <v>45292</v>
      </c>
      <c r="B23">
        <v>81</v>
      </c>
      <c r="C23">
        <v>16</v>
      </c>
      <c r="D23">
        <v>516.23</v>
      </c>
      <c r="E23">
        <v>5</v>
      </c>
      <c r="F23">
        <v>1030.68</v>
      </c>
      <c r="G23" t="s">
        <v>13</v>
      </c>
      <c r="H23" t="s">
        <v>38</v>
      </c>
      <c r="I23" t="s">
        <v>46</v>
      </c>
    </row>
    <row r="24" spans="1:9" x14ac:dyDescent="0.25">
      <c r="A24" s="2">
        <v>45292</v>
      </c>
      <c r="B24">
        <v>24</v>
      </c>
      <c r="C24">
        <v>6</v>
      </c>
      <c r="D24">
        <v>76.930000000000007</v>
      </c>
      <c r="E24">
        <v>4</v>
      </c>
      <c r="F24">
        <v>1552.35</v>
      </c>
      <c r="G24" t="s">
        <v>12</v>
      </c>
      <c r="H24" t="s">
        <v>38</v>
      </c>
      <c r="I24" t="s">
        <v>46</v>
      </c>
    </row>
    <row r="25" spans="1:9" x14ac:dyDescent="0.25">
      <c r="A25" s="2">
        <v>45292</v>
      </c>
      <c r="B25">
        <v>47</v>
      </c>
      <c r="C25">
        <v>14</v>
      </c>
      <c r="D25">
        <v>418.92</v>
      </c>
      <c r="E25">
        <v>2</v>
      </c>
      <c r="F25">
        <v>3716</v>
      </c>
      <c r="G25" t="s">
        <v>11</v>
      </c>
      <c r="H25" t="s">
        <v>37</v>
      </c>
      <c r="I25" t="s">
        <v>45</v>
      </c>
    </row>
    <row r="26" spans="1:9" x14ac:dyDescent="0.25">
      <c r="A26" s="2">
        <v>45292</v>
      </c>
      <c r="B26">
        <v>78</v>
      </c>
      <c r="C26">
        <v>12</v>
      </c>
      <c r="D26">
        <v>377.5</v>
      </c>
      <c r="E26">
        <v>4</v>
      </c>
      <c r="F26">
        <v>3880.98</v>
      </c>
      <c r="G26" t="s">
        <v>10</v>
      </c>
      <c r="H26" t="s">
        <v>36</v>
      </c>
      <c r="I26" t="s">
        <v>46</v>
      </c>
    </row>
    <row r="27" spans="1:9" x14ac:dyDescent="0.25">
      <c r="A27" s="2">
        <v>45292</v>
      </c>
      <c r="B27">
        <v>67</v>
      </c>
      <c r="C27">
        <v>17</v>
      </c>
      <c r="D27">
        <v>552.54999999999995</v>
      </c>
      <c r="E27">
        <v>2</v>
      </c>
      <c r="F27">
        <v>330.12</v>
      </c>
      <c r="G27" t="s">
        <v>21</v>
      </c>
      <c r="H27" t="s">
        <v>42</v>
      </c>
      <c r="I27" t="s">
        <v>46</v>
      </c>
    </row>
    <row r="28" spans="1:9" x14ac:dyDescent="0.25">
      <c r="A28" s="2">
        <v>45293</v>
      </c>
      <c r="B28">
        <v>88</v>
      </c>
      <c r="C28">
        <v>76</v>
      </c>
      <c r="D28">
        <v>477.27143704234118</v>
      </c>
      <c r="E28">
        <v>33</v>
      </c>
      <c r="F28">
        <v>2759.8775464905921</v>
      </c>
      <c r="G28" t="s">
        <v>12</v>
      </c>
      <c r="H28" t="s">
        <v>35</v>
      </c>
      <c r="I28" t="s">
        <v>46</v>
      </c>
    </row>
    <row r="29" spans="1:9" x14ac:dyDescent="0.25">
      <c r="A29" s="2">
        <v>45294</v>
      </c>
      <c r="B29">
        <v>78</v>
      </c>
      <c r="C29">
        <v>28</v>
      </c>
      <c r="D29">
        <v>151.56193441796631</v>
      </c>
      <c r="E29">
        <v>7</v>
      </c>
      <c r="F29">
        <v>3179.2325779401972</v>
      </c>
      <c r="G29" t="s">
        <v>12</v>
      </c>
      <c r="H29" t="s">
        <v>43</v>
      </c>
      <c r="I29" t="s">
        <v>46</v>
      </c>
    </row>
    <row r="30" spans="1:9" x14ac:dyDescent="0.25">
      <c r="A30" s="2">
        <v>45295</v>
      </c>
      <c r="B30">
        <v>64</v>
      </c>
      <c r="C30">
        <v>29</v>
      </c>
      <c r="D30">
        <v>551.2764533397833</v>
      </c>
      <c r="E30">
        <v>39</v>
      </c>
      <c r="F30">
        <v>801.84414824792361</v>
      </c>
      <c r="G30" t="s">
        <v>47</v>
      </c>
      <c r="H30" t="s">
        <v>43</v>
      </c>
      <c r="I30" t="s">
        <v>46</v>
      </c>
    </row>
    <row r="31" spans="1:9" x14ac:dyDescent="0.25">
      <c r="A31" s="2">
        <v>45296</v>
      </c>
      <c r="B31">
        <v>92</v>
      </c>
      <c r="C31">
        <v>61</v>
      </c>
      <c r="D31">
        <v>352.62618622392858</v>
      </c>
      <c r="E31">
        <v>18</v>
      </c>
      <c r="F31">
        <v>3874.8221167963002</v>
      </c>
      <c r="G31" t="s">
        <v>47</v>
      </c>
      <c r="H31" t="s">
        <v>36</v>
      </c>
      <c r="I31" t="s">
        <v>45</v>
      </c>
    </row>
    <row r="32" spans="1:9" x14ac:dyDescent="0.25">
      <c r="A32" s="2">
        <v>45299</v>
      </c>
      <c r="B32">
        <v>57</v>
      </c>
      <c r="C32">
        <v>42</v>
      </c>
      <c r="D32">
        <v>513.22873305387088</v>
      </c>
      <c r="E32">
        <v>36</v>
      </c>
      <c r="F32">
        <v>1444.575168930136</v>
      </c>
      <c r="G32" t="s">
        <v>18</v>
      </c>
      <c r="H32" t="s">
        <v>37</v>
      </c>
      <c r="I32" t="s">
        <v>46</v>
      </c>
    </row>
    <row r="33" spans="1:9" x14ac:dyDescent="0.25">
      <c r="A33" s="2">
        <v>45300</v>
      </c>
      <c r="B33">
        <v>70</v>
      </c>
      <c r="C33">
        <v>49</v>
      </c>
      <c r="D33">
        <v>260.02480051530591</v>
      </c>
      <c r="E33">
        <v>5</v>
      </c>
      <c r="F33">
        <v>4541.2443024832119</v>
      </c>
      <c r="G33" t="s">
        <v>48</v>
      </c>
      <c r="H33" t="s">
        <v>44</v>
      </c>
      <c r="I33" t="s">
        <v>46</v>
      </c>
    </row>
    <row r="34" spans="1:9" x14ac:dyDescent="0.25">
      <c r="A34" s="2">
        <v>45301</v>
      </c>
      <c r="B34">
        <v>88</v>
      </c>
      <c r="C34">
        <v>48</v>
      </c>
      <c r="D34">
        <v>547.76161424810016</v>
      </c>
      <c r="E34">
        <v>25</v>
      </c>
      <c r="F34">
        <v>1423.128382169032</v>
      </c>
      <c r="G34" t="s">
        <v>49</v>
      </c>
      <c r="H34" t="s">
        <v>42</v>
      </c>
      <c r="I34" t="s">
        <v>46</v>
      </c>
    </row>
    <row r="35" spans="1:9" x14ac:dyDescent="0.25">
      <c r="A35" s="2">
        <v>45302</v>
      </c>
      <c r="B35">
        <v>68</v>
      </c>
      <c r="C35">
        <v>10</v>
      </c>
      <c r="D35">
        <v>294.60083936708162</v>
      </c>
      <c r="E35">
        <v>33</v>
      </c>
      <c r="F35">
        <v>1358.0947429865</v>
      </c>
      <c r="G35" t="s">
        <v>47</v>
      </c>
      <c r="H35" t="s">
        <v>38</v>
      </c>
      <c r="I35" t="s">
        <v>45</v>
      </c>
    </row>
    <row r="36" spans="1:9" x14ac:dyDescent="0.25">
      <c r="A36" s="2">
        <v>45303</v>
      </c>
      <c r="B36">
        <v>72</v>
      </c>
      <c r="C36">
        <v>20</v>
      </c>
      <c r="D36">
        <v>105.4188257401492</v>
      </c>
      <c r="E36">
        <v>5</v>
      </c>
      <c r="F36">
        <v>664.47350531642701</v>
      </c>
      <c r="G36" t="s">
        <v>9</v>
      </c>
      <c r="H36" t="s">
        <v>37</v>
      </c>
      <c r="I36" t="s">
        <v>46</v>
      </c>
    </row>
    <row r="37" spans="1:9" x14ac:dyDescent="0.25">
      <c r="A37" s="2">
        <v>45306</v>
      </c>
      <c r="B37">
        <v>60</v>
      </c>
      <c r="C37">
        <v>66</v>
      </c>
      <c r="D37">
        <v>552.69098820963177</v>
      </c>
      <c r="E37">
        <v>36</v>
      </c>
      <c r="F37">
        <v>2624.301252994997</v>
      </c>
      <c r="G37" t="s">
        <v>18</v>
      </c>
      <c r="H37" t="s">
        <v>35</v>
      </c>
      <c r="I37" t="s">
        <v>45</v>
      </c>
    </row>
    <row r="38" spans="1:9" x14ac:dyDescent="0.25">
      <c r="A38" s="2">
        <v>45307</v>
      </c>
      <c r="B38">
        <v>60</v>
      </c>
      <c r="C38">
        <v>59</v>
      </c>
      <c r="D38">
        <v>145.64333839306681</v>
      </c>
      <c r="E38">
        <v>32</v>
      </c>
      <c r="F38">
        <v>3041.7850996817742</v>
      </c>
      <c r="G38" t="s">
        <v>49</v>
      </c>
      <c r="H38" t="s">
        <v>43</v>
      </c>
      <c r="I38" t="s">
        <v>45</v>
      </c>
    </row>
    <row r="39" spans="1:9" x14ac:dyDescent="0.25">
      <c r="A39" s="2">
        <v>45308</v>
      </c>
      <c r="B39">
        <v>73</v>
      </c>
      <c r="C39">
        <v>32</v>
      </c>
      <c r="D39">
        <v>259.65681879520741</v>
      </c>
      <c r="E39">
        <v>21</v>
      </c>
      <c r="F39">
        <v>795.68887742758557</v>
      </c>
      <c r="G39" t="s">
        <v>18</v>
      </c>
      <c r="H39" t="s">
        <v>40</v>
      </c>
      <c r="I39" t="s">
        <v>46</v>
      </c>
    </row>
    <row r="40" spans="1:9" x14ac:dyDescent="0.25">
      <c r="A40" s="2">
        <v>45309</v>
      </c>
      <c r="B40">
        <v>85</v>
      </c>
      <c r="C40">
        <v>40</v>
      </c>
      <c r="D40">
        <v>575.03098352540246</v>
      </c>
      <c r="E40">
        <v>20</v>
      </c>
      <c r="F40">
        <v>3989.8742751275481</v>
      </c>
      <c r="G40" t="s">
        <v>49</v>
      </c>
      <c r="H40" t="s">
        <v>36</v>
      </c>
      <c r="I40" t="s">
        <v>46</v>
      </c>
    </row>
    <row r="41" spans="1:9" x14ac:dyDescent="0.25">
      <c r="A41" s="2">
        <v>45310</v>
      </c>
      <c r="B41">
        <v>89</v>
      </c>
      <c r="C41">
        <v>51</v>
      </c>
      <c r="D41">
        <v>575.30357346877804</v>
      </c>
      <c r="E41">
        <v>5</v>
      </c>
      <c r="F41">
        <v>2539.7997563661238</v>
      </c>
      <c r="G41" t="s">
        <v>49</v>
      </c>
      <c r="H41" t="s">
        <v>36</v>
      </c>
      <c r="I41" t="s">
        <v>45</v>
      </c>
    </row>
    <row r="42" spans="1:9" x14ac:dyDescent="0.25">
      <c r="A42" s="2">
        <v>45313</v>
      </c>
      <c r="B42">
        <v>73</v>
      </c>
      <c r="C42">
        <v>16</v>
      </c>
      <c r="D42">
        <v>386.71894406164313</v>
      </c>
      <c r="E42">
        <v>5</v>
      </c>
      <c r="F42">
        <v>2859.7562119741101</v>
      </c>
      <c r="G42" t="s">
        <v>34</v>
      </c>
      <c r="H42" t="s">
        <v>40</v>
      </c>
      <c r="I42" t="s">
        <v>46</v>
      </c>
    </row>
    <row r="43" spans="1:9" x14ac:dyDescent="0.25">
      <c r="A43" s="2">
        <v>45314</v>
      </c>
      <c r="B43">
        <v>52</v>
      </c>
      <c r="C43">
        <v>25</v>
      </c>
      <c r="D43">
        <v>415.91860608489958</v>
      </c>
      <c r="E43">
        <v>3</v>
      </c>
      <c r="F43">
        <v>2483.4323612220269</v>
      </c>
      <c r="G43" t="s">
        <v>47</v>
      </c>
      <c r="H43" t="s">
        <v>44</v>
      </c>
      <c r="I43" t="s">
        <v>45</v>
      </c>
    </row>
    <row r="44" spans="1:9" x14ac:dyDescent="0.25">
      <c r="A44" s="2">
        <v>45315</v>
      </c>
      <c r="B44">
        <v>71</v>
      </c>
      <c r="C44">
        <v>69</v>
      </c>
      <c r="D44">
        <v>324.22276098915989</v>
      </c>
      <c r="E44">
        <v>29</v>
      </c>
      <c r="F44">
        <v>2303.4337739389671</v>
      </c>
      <c r="G44" t="s">
        <v>10</v>
      </c>
      <c r="H44" t="s">
        <v>37</v>
      </c>
      <c r="I44" t="s">
        <v>45</v>
      </c>
    </row>
    <row r="45" spans="1:9" x14ac:dyDescent="0.25">
      <c r="A45" s="2">
        <v>45316</v>
      </c>
      <c r="B45">
        <v>51</v>
      </c>
      <c r="C45">
        <v>11</v>
      </c>
      <c r="D45">
        <v>246.6053858490323</v>
      </c>
      <c r="E45">
        <v>10</v>
      </c>
      <c r="F45">
        <v>3018.3814908869799</v>
      </c>
      <c r="G45" t="s">
        <v>18</v>
      </c>
      <c r="H45" t="s">
        <v>38</v>
      </c>
      <c r="I45" t="s">
        <v>46</v>
      </c>
    </row>
    <row r="46" spans="1:9" x14ac:dyDescent="0.25">
      <c r="A46" s="2">
        <v>45317</v>
      </c>
      <c r="B46">
        <v>73</v>
      </c>
      <c r="C46">
        <v>10</v>
      </c>
      <c r="D46">
        <v>264.33227268495801</v>
      </c>
      <c r="E46">
        <v>29</v>
      </c>
      <c r="F46">
        <v>1198.5811066882061</v>
      </c>
      <c r="G46" t="s">
        <v>10</v>
      </c>
      <c r="H46" t="s">
        <v>44</v>
      </c>
      <c r="I46" t="s">
        <v>46</v>
      </c>
    </row>
    <row r="47" spans="1:9" x14ac:dyDescent="0.25">
      <c r="A47" s="2">
        <v>45320</v>
      </c>
      <c r="B47">
        <v>93</v>
      </c>
      <c r="C47">
        <v>57</v>
      </c>
      <c r="D47">
        <v>436.25922803851921</v>
      </c>
      <c r="E47">
        <v>30</v>
      </c>
      <c r="F47">
        <v>1318.6765872287201</v>
      </c>
      <c r="G47" t="s">
        <v>18</v>
      </c>
      <c r="H47" t="s">
        <v>40</v>
      </c>
      <c r="I47" t="s">
        <v>45</v>
      </c>
    </row>
    <row r="48" spans="1:9" x14ac:dyDescent="0.25">
      <c r="A48" s="2">
        <v>45321</v>
      </c>
      <c r="B48">
        <v>79</v>
      </c>
      <c r="C48">
        <v>21</v>
      </c>
      <c r="D48">
        <v>476.18726471884003</v>
      </c>
      <c r="E48">
        <v>23</v>
      </c>
      <c r="F48">
        <v>4378.0352945608283</v>
      </c>
      <c r="G48" t="s">
        <v>34</v>
      </c>
      <c r="H48" t="s">
        <v>43</v>
      </c>
      <c r="I48" t="s">
        <v>45</v>
      </c>
    </row>
    <row r="49" spans="1:9" x14ac:dyDescent="0.25">
      <c r="A49" s="2">
        <v>45322</v>
      </c>
      <c r="B49">
        <v>87</v>
      </c>
      <c r="C49">
        <v>78</v>
      </c>
      <c r="D49">
        <v>495.78952186292429</v>
      </c>
      <c r="E49">
        <v>8</v>
      </c>
      <c r="F49">
        <v>4757.5195796013477</v>
      </c>
      <c r="G49" t="s">
        <v>9</v>
      </c>
      <c r="H49" t="s">
        <v>40</v>
      </c>
      <c r="I49" t="s">
        <v>45</v>
      </c>
    </row>
    <row r="50" spans="1:9" x14ac:dyDescent="0.25">
      <c r="A50" s="2">
        <v>45323</v>
      </c>
      <c r="B50">
        <v>34</v>
      </c>
      <c r="C50">
        <v>17</v>
      </c>
      <c r="D50">
        <v>380.37</v>
      </c>
      <c r="E50">
        <v>7</v>
      </c>
      <c r="F50">
        <v>4183.2700000000004</v>
      </c>
      <c r="G50" t="s">
        <v>34</v>
      </c>
      <c r="H50" t="s">
        <v>38</v>
      </c>
      <c r="I50" t="s">
        <v>46</v>
      </c>
    </row>
    <row r="51" spans="1:9" x14ac:dyDescent="0.25">
      <c r="A51" s="2">
        <v>45323</v>
      </c>
      <c r="B51">
        <v>80</v>
      </c>
      <c r="C51">
        <v>50</v>
      </c>
      <c r="D51">
        <v>562.73</v>
      </c>
      <c r="E51">
        <v>30</v>
      </c>
      <c r="F51">
        <v>221.94</v>
      </c>
      <c r="G51" t="s">
        <v>33</v>
      </c>
      <c r="H51" t="s">
        <v>38</v>
      </c>
      <c r="I51" t="s">
        <v>46</v>
      </c>
    </row>
    <row r="52" spans="1:9" x14ac:dyDescent="0.25">
      <c r="A52" s="2">
        <v>45323</v>
      </c>
      <c r="B52">
        <v>22</v>
      </c>
      <c r="C52">
        <v>17</v>
      </c>
      <c r="D52">
        <v>291.97000000000003</v>
      </c>
      <c r="E52">
        <v>1</v>
      </c>
      <c r="F52">
        <v>1703.6</v>
      </c>
      <c r="G52" t="s">
        <v>29</v>
      </c>
      <c r="H52" t="s">
        <v>36</v>
      </c>
      <c r="I52" t="s">
        <v>45</v>
      </c>
    </row>
    <row r="53" spans="1:9" x14ac:dyDescent="0.25">
      <c r="A53" s="2">
        <v>45323</v>
      </c>
      <c r="B53">
        <v>68</v>
      </c>
      <c r="C53">
        <v>7</v>
      </c>
      <c r="D53">
        <v>171.76</v>
      </c>
      <c r="E53">
        <v>7</v>
      </c>
      <c r="F53">
        <v>548.36</v>
      </c>
      <c r="G53" t="s">
        <v>31</v>
      </c>
      <c r="H53" t="s">
        <v>39</v>
      </c>
      <c r="I53" t="s">
        <v>46</v>
      </c>
    </row>
    <row r="54" spans="1:9" x14ac:dyDescent="0.25">
      <c r="A54" s="2">
        <v>45323</v>
      </c>
      <c r="B54">
        <v>62</v>
      </c>
      <c r="C54">
        <v>15</v>
      </c>
      <c r="D54">
        <v>361.38</v>
      </c>
      <c r="E54">
        <v>6</v>
      </c>
      <c r="F54">
        <v>4195.1400000000003</v>
      </c>
      <c r="G54" t="s">
        <v>9</v>
      </c>
      <c r="H54" t="s">
        <v>41</v>
      </c>
      <c r="I54" t="s">
        <v>46</v>
      </c>
    </row>
    <row r="55" spans="1:9" x14ac:dyDescent="0.25">
      <c r="A55" s="2">
        <v>45323</v>
      </c>
      <c r="B55">
        <v>83</v>
      </c>
      <c r="C55">
        <v>16</v>
      </c>
      <c r="D55">
        <v>382.21</v>
      </c>
      <c r="E55">
        <v>1</v>
      </c>
      <c r="F55">
        <v>3017.43</v>
      </c>
      <c r="G55" t="s">
        <v>32</v>
      </c>
      <c r="H55" t="s">
        <v>35</v>
      </c>
      <c r="I55" t="s">
        <v>46</v>
      </c>
    </row>
    <row r="56" spans="1:9" x14ac:dyDescent="0.25">
      <c r="A56" s="2">
        <v>45323</v>
      </c>
      <c r="B56">
        <v>52</v>
      </c>
      <c r="C56">
        <v>14</v>
      </c>
      <c r="D56">
        <v>382.59</v>
      </c>
      <c r="E56">
        <v>3</v>
      </c>
      <c r="F56">
        <v>3394.39</v>
      </c>
      <c r="G56" t="s">
        <v>11</v>
      </c>
      <c r="H56" t="s">
        <v>41</v>
      </c>
      <c r="I56" t="s">
        <v>45</v>
      </c>
    </row>
    <row r="57" spans="1:9" x14ac:dyDescent="0.25">
      <c r="A57" s="2">
        <v>45323</v>
      </c>
      <c r="B57">
        <v>100</v>
      </c>
      <c r="C57">
        <v>50</v>
      </c>
      <c r="D57">
        <v>79.459999999999994</v>
      </c>
      <c r="E57">
        <v>30</v>
      </c>
      <c r="F57">
        <v>1638.74</v>
      </c>
      <c r="G57" t="s">
        <v>12</v>
      </c>
      <c r="H57" t="s">
        <v>43</v>
      </c>
      <c r="I57" t="s">
        <v>45</v>
      </c>
    </row>
    <row r="58" spans="1:9" x14ac:dyDescent="0.25">
      <c r="A58" s="2">
        <v>45323</v>
      </c>
      <c r="B58">
        <v>93</v>
      </c>
      <c r="C58">
        <v>11</v>
      </c>
      <c r="D58">
        <v>446.3</v>
      </c>
      <c r="E58">
        <v>5</v>
      </c>
      <c r="F58">
        <v>1057.1400000000001</v>
      </c>
      <c r="G58" t="s">
        <v>13</v>
      </c>
      <c r="H58" t="s">
        <v>39</v>
      </c>
      <c r="I58" t="s">
        <v>46</v>
      </c>
    </row>
    <row r="59" spans="1:9" x14ac:dyDescent="0.25">
      <c r="A59" s="2">
        <v>45323</v>
      </c>
      <c r="B59">
        <v>65</v>
      </c>
      <c r="C59">
        <v>7</v>
      </c>
      <c r="D59">
        <v>461.67</v>
      </c>
      <c r="E59">
        <v>2</v>
      </c>
      <c r="F59">
        <v>3486.23</v>
      </c>
      <c r="G59" t="s">
        <v>14</v>
      </c>
      <c r="H59" t="s">
        <v>43</v>
      </c>
      <c r="I59" t="s">
        <v>45</v>
      </c>
    </row>
    <row r="60" spans="1:9" x14ac:dyDescent="0.25">
      <c r="A60" s="2">
        <v>45323</v>
      </c>
      <c r="B60">
        <v>90</v>
      </c>
      <c r="C60">
        <v>20</v>
      </c>
      <c r="D60">
        <v>328.63</v>
      </c>
      <c r="E60">
        <v>3</v>
      </c>
      <c r="F60">
        <v>2662.44</v>
      </c>
      <c r="G60" t="s">
        <v>15</v>
      </c>
      <c r="H60" t="s">
        <v>43</v>
      </c>
      <c r="I60" t="s">
        <v>46</v>
      </c>
    </row>
    <row r="61" spans="1:9" x14ac:dyDescent="0.25">
      <c r="A61" s="2">
        <v>45323</v>
      </c>
      <c r="B61">
        <v>48</v>
      </c>
      <c r="C61">
        <v>7</v>
      </c>
      <c r="D61">
        <v>247.66</v>
      </c>
      <c r="E61">
        <v>6</v>
      </c>
      <c r="F61">
        <v>4335.84</v>
      </c>
      <c r="G61" t="s">
        <v>16</v>
      </c>
      <c r="H61" t="s">
        <v>37</v>
      </c>
      <c r="I61" t="s">
        <v>46</v>
      </c>
    </row>
    <row r="62" spans="1:9" x14ac:dyDescent="0.25">
      <c r="A62" s="2">
        <v>45323</v>
      </c>
      <c r="B62">
        <v>37</v>
      </c>
      <c r="C62">
        <v>17</v>
      </c>
      <c r="D62">
        <v>378.61</v>
      </c>
      <c r="E62">
        <v>10</v>
      </c>
      <c r="F62">
        <v>1295.07</v>
      </c>
      <c r="G62" t="s">
        <v>17</v>
      </c>
      <c r="H62" t="s">
        <v>41</v>
      </c>
      <c r="I62" t="s">
        <v>46</v>
      </c>
    </row>
    <row r="63" spans="1:9" x14ac:dyDescent="0.25">
      <c r="A63" s="2">
        <v>45323</v>
      </c>
      <c r="B63">
        <v>68</v>
      </c>
      <c r="C63">
        <v>16</v>
      </c>
      <c r="D63">
        <v>299.58999999999997</v>
      </c>
      <c r="E63">
        <v>9</v>
      </c>
      <c r="F63">
        <v>979.47</v>
      </c>
      <c r="G63" t="s">
        <v>18</v>
      </c>
      <c r="H63" t="s">
        <v>39</v>
      </c>
      <c r="I63" t="s">
        <v>45</v>
      </c>
    </row>
    <row r="64" spans="1:9" x14ac:dyDescent="0.25">
      <c r="A64" s="2">
        <v>45323</v>
      </c>
      <c r="B64">
        <v>20</v>
      </c>
      <c r="C64">
        <v>9</v>
      </c>
      <c r="D64">
        <v>202.4</v>
      </c>
      <c r="E64">
        <v>7</v>
      </c>
      <c r="F64">
        <v>732.99</v>
      </c>
      <c r="G64" t="s">
        <v>19</v>
      </c>
      <c r="H64" t="s">
        <v>39</v>
      </c>
      <c r="I64" t="s">
        <v>46</v>
      </c>
    </row>
    <row r="65" spans="1:9" x14ac:dyDescent="0.25">
      <c r="A65" s="2">
        <v>45323</v>
      </c>
      <c r="B65">
        <v>81</v>
      </c>
      <c r="C65">
        <v>14</v>
      </c>
      <c r="D65">
        <v>362.96</v>
      </c>
      <c r="E65">
        <v>5</v>
      </c>
      <c r="F65">
        <v>3620.19</v>
      </c>
      <c r="G65" t="s">
        <v>10</v>
      </c>
      <c r="H65" t="s">
        <v>44</v>
      </c>
      <c r="I65" t="s">
        <v>46</v>
      </c>
    </row>
    <row r="66" spans="1:9" x14ac:dyDescent="0.25">
      <c r="A66" s="2">
        <v>45323</v>
      </c>
      <c r="B66">
        <v>68</v>
      </c>
      <c r="C66">
        <v>21</v>
      </c>
      <c r="D66">
        <v>553.08000000000004</v>
      </c>
      <c r="E66">
        <v>3</v>
      </c>
      <c r="F66">
        <v>360.7</v>
      </c>
      <c r="G66" t="s">
        <v>21</v>
      </c>
      <c r="H66" t="s">
        <v>40</v>
      </c>
      <c r="I66" t="s">
        <v>45</v>
      </c>
    </row>
    <row r="67" spans="1:9" x14ac:dyDescent="0.25">
      <c r="A67" s="2">
        <v>45323</v>
      </c>
      <c r="B67">
        <v>30</v>
      </c>
      <c r="C67">
        <v>8</v>
      </c>
      <c r="D67">
        <v>223.22</v>
      </c>
      <c r="E67">
        <v>2</v>
      </c>
      <c r="F67">
        <v>3595.12</v>
      </c>
      <c r="G67" t="s">
        <v>22</v>
      </c>
      <c r="H67" t="s">
        <v>43</v>
      </c>
      <c r="I67" t="s">
        <v>46</v>
      </c>
    </row>
    <row r="68" spans="1:9" x14ac:dyDescent="0.25">
      <c r="A68" s="2">
        <v>45323</v>
      </c>
      <c r="B68">
        <v>69</v>
      </c>
      <c r="C68">
        <v>8</v>
      </c>
      <c r="D68">
        <v>199.93</v>
      </c>
      <c r="E68">
        <v>2</v>
      </c>
      <c r="F68">
        <v>610.66</v>
      </c>
      <c r="G68" t="s">
        <v>23</v>
      </c>
      <c r="H68" t="s">
        <v>37</v>
      </c>
      <c r="I68" t="s">
        <v>46</v>
      </c>
    </row>
    <row r="69" spans="1:9" x14ac:dyDescent="0.25">
      <c r="A69" s="2">
        <v>45323</v>
      </c>
      <c r="B69">
        <v>92</v>
      </c>
      <c r="C69">
        <v>6</v>
      </c>
      <c r="D69">
        <v>180.46</v>
      </c>
      <c r="E69">
        <v>5</v>
      </c>
      <c r="F69">
        <v>1173.27</v>
      </c>
      <c r="G69" t="s">
        <v>24</v>
      </c>
      <c r="H69" t="s">
        <v>44</v>
      </c>
      <c r="I69" t="s">
        <v>46</v>
      </c>
    </row>
    <row r="70" spans="1:9" x14ac:dyDescent="0.25">
      <c r="A70" s="2">
        <v>45323</v>
      </c>
      <c r="B70">
        <v>92</v>
      </c>
      <c r="C70">
        <v>7</v>
      </c>
      <c r="D70">
        <v>80.12</v>
      </c>
      <c r="E70">
        <v>6</v>
      </c>
      <c r="F70">
        <v>3794.02</v>
      </c>
      <c r="G70" t="s">
        <v>25</v>
      </c>
      <c r="H70" t="s">
        <v>39</v>
      </c>
      <c r="I70" t="s">
        <v>46</v>
      </c>
    </row>
    <row r="71" spans="1:9" x14ac:dyDescent="0.25">
      <c r="A71" s="2">
        <v>45323</v>
      </c>
      <c r="B71">
        <v>21</v>
      </c>
      <c r="C71">
        <v>14</v>
      </c>
      <c r="D71">
        <v>563.79</v>
      </c>
      <c r="E71">
        <v>8</v>
      </c>
      <c r="F71">
        <v>3616.21</v>
      </c>
      <c r="G71" t="s">
        <v>26</v>
      </c>
      <c r="H71" t="s">
        <v>37</v>
      </c>
      <c r="I71" t="s">
        <v>46</v>
      </c>
    </row>
    <row r="72" spans="1:9" x14ac:dyDescent="0.25">
      <c r="A72" s="2">
        <v>45323</v>
      </c>
      <c r="B72">
        <v>83</v>
      </c>
      <c r="C72">
        <v>20</v>
      </c>
      <c r="D72">
        <v>193.39</v>
      </c>
      <c r="E72">
        <v>5</v>
      </c>
      <c r="F72">
        <v>402.53</v>
      </c>
      <c r="G72" t="s">
        <v>27</v>
      </c>
      <c r="H72" t="s">
        <v>35</v>
      </c>
      <c r="I72" t="s">
        <v>46</v>
      </c>
    </row>
    <row r="73" spans="1:9" x14ac:dyDescent="0.25">
      <c r="A73" s="2">
        <v>45323</v>
      </c>
      <c r="B73">
        <v>57</v>
      </c>
      <c r="C73">
        <v>11</v>
      </c>
      <c r="D73">
        <v>454.77</v>
      </c>
      <c r="E73">
        <v>1</v>
      </c>
      <c r="F73">
        <v>1152.4100000000001</v>
      </c>
      <c r="G73" t="s">
        <v>28</v>
      </c>
      <c r="H73" t="s">
        <v>40</v>
      </c>
      <c r="I73" t="s">
        <v>46</v>
      </c>
    </row>
    <row r="74" spans="1:9" x14ac:dyDescent="0.25">
      <c r="A74" s="2">
        <v>45323</v>
      </c>
      <c r="B74">
        <v>35</v>
      </c>
      <c r="C74">
        <v>6</v>
      </c>
      <c r="D74">
        <v>568.38</v>
      </c>
      <c r="E74">
        <v>6</v>
      </c>
      <c r="F74">
        <v>3949.69</v>
      </c>
      <c r="G74" t="s">
        <v>20</v>
      </c>
      <c r="H74" t="s">
        <v>41</v>
      </c>
      <c r="I74" t="s">
        <v>46</v>
      </c>
    </row>
    <row r="75" spans="1:9" x14ac:dyDescent="0.25">
      <c r="A75" s="2">
        <v>45323</v>
      </c>
      <c r="B75">
        <v>78</v>
      </c>
      <c r="C75">
        <v>5</v>
      </c>
      <c r="D75">
        <v>553.86</v>
      </c>
      <c r="E75">
        <v>1</v>
      </c>
      <c r="F75">
        <v>3503.57</v>
      </c>
      <c r="G75" t="s">
        <v>30</v>
      </c>
      <c r="H75" t="s">
        <v>41</v>
      </c>
      <c r="I75" t="s">
        <v>45</v>
      </c>
    </row>
    <row r="76" spans="1:9" x14ac:dyDescent="0.25">
      <c r="A76" s="2">
        <v>45324</v>
      </c>
      <c r="B76">
        <v>51</v>
      </c>
      <c r="C76">
        <v>46</v>
      </c>
      <c r="D76">
        <v>494.80907139727702</v>
      </c>
      <c r="E76">
        <v>2</v>
      </c>
      <c r="F76">
        <v>2179.8919232588878</v>
      </c>
      <c r="G76" t="s">
        <v>10</v>
      </c>
      <c r="H76" t="s">
        <v>44</v>
      </c>
      <c r="I76" t="s">
        <v>45</v>
      </c>
    </row>
    <row r="77" spans="1:9" x14ac:dyDescent="0.25">
      <c r="A77" s="2">
        <v>45327</v>
      </c>
      <c r="B77">
        <v>70</v>
      </c>
      <c r="C77">
        <v>41</v>
      </c>
      <c r="D77">
        <v>145.6030515243452</v>
      </c>
      <c r="E77">
        <v>30</v>
      </c>
      <c r="F77">
        <v>1718.351029145992</v>
      </c>
      <c r="G77" t="s">
        <v>9</v>
      </c>
      <c r="H77" t="s">
        <v>42</v>
      </c>
      <c r="I77" t="s">
        <v>46</v>
      </c>
    </row>
    <row r="78" spans="1:9" x14ac:dyDescent="0.25">
      <c r="A78" s="2">
        <v>45328</v>
      </c>
      <c r="B78">
        <v>82</v>
      </c>
      <c r="C78">
        <v>18</v>
      </c>
      <c r="D78">
        <v>347.21015235129067</v>
      </c>
      <c r="E78">
        <v>39</v>
      </c>
      <c r="F78">
        <v>3397.9979445755712</v>
      </c>
      <c r="G78" t="s">
        <v>12</v>
      </c>
      <c r="H78" t="s">
        <v>36</v>
      </c>
      <c r="I78" t="s">
        <v>46</v>
      </c>
    </row>
    <row r="79" spans="1:9" x14ac:dyDescent="0.25">
      <c r="A79" s="2">
        <v>45329</v>
      </c>
      <c r="B79">
        <v>61</v>
      </c>
      <c r="C79">
        <v>28</v>
      </c>
      <c r="D79">
        <v>128.77938000832211</v>
      </c>
      <c r="E79">
        <v>36</v>
      </c>
      <c r="F79">
        <v>2339.303769941434</v>
      </c>
      <c r="G79" t="s">
        <v>47</v>
      </c>
      <c r="H79" t="s">
        <v>36</v>
      </c>
      <c r="I79" t="s">
        <v>46</v>
      </c>
    </row>
    <row r="80" spans="1:9" x14ac:dyDescent="0.25">
      <c r="A80" s="2">
        <v>45330</v>
      </c>
      <c r="B80">
        <v>71</v>
      </c>
      <c r="C80">
        <v>57</v>
      </c>
      <c r="D80">
        <v>374.76444116186781</v>
      </c>
      <c r="E80">
        <v>35</v>
      </c>
      <c r="F80">
        <v>614.23860047155188</v>
      </c>
      <c r="G80" t="s">
        <v>47</v>
      </c>
      <c r="H80" t="s">
        <v>35</v>
      </c>
      <c r="I80" t="s">
        <v>46</v>
      </c>
    </row>
    <row r="81" spans="1:9" x14ac:dyDescent="0.25">
      <c r="A81" s="2">
        <v>45331</v>
      </c>
      <c r="B81">
        <v>93</v>
      </c>
      <c r="C81">
        <v>12</v>
      </c>
      <c r="D81">
        <v>320.76525068668849</v>
      </c>
      <c r="E81">
        <v>23</v>
      </c>
      <c r="F81">
        <v>1202.686688147857</v>
      </c>
      <c r="G81" t="s">
        <v>48</v>
      </c>
      <c r="H81" t="s">
        <v>35</v>
      </c>
      <c r="I81" t="s">
        <v>46</v>
      </c>
    </row>
    <row r="82" spans="1:9" x14ac:dyDescent="0.25">
      <c r="A82" s="2">
        <v>45334</v>
      </c>
      <c r="B82">
        <v>74</v>
      </c>
      <c r="C82">
        <v>29</v>
      </c>
      <c r="D82">
        <v>543.8520913791499</v>
      </c>
      <c r="E82">
        <v>30</v>
      </c>
      <c r="F82">
        <v>3721.8750298132891</v>
      </c>
      <c r="G82" t="s">
        <v>34</v>
      </c>
      <c r="H82" t="s">
        <v>40</v>
      </c>
      <c r="I82" t="s">
        <v>45</v>
      </c>
    </row>
    <row r="83" spans="1:9" x14ac:dyDescent="0.25">
      <c r="A83" s="2">
        <v>45335</v>
      </c>
      <c r="B83">
        <v>98</v>
      </c>
      <c r="C83">
        <v>33</v>
      </c>
      <c r="D83">
        <v>275.45750627603928</v>
      </c>
      <c r="E83">
        <v>5</v>
      </c>
      <c r="F83">
        <v>3465.1577385956812</v>
      </c>
      <c r="G83" t="s">
        <v>9</v>
      </c>
      <c r="H83" t="s">
        <v>38</v>
      </c>
      <c r="I83" t="s">
        <v>46</v>
      </c>
    </row>
    <row r="84" spans="1:9" x14ac:dyDescent="0.25">
      <c r="A84" s="2">
        <v>45336</v>
      </c>
      <c r="B84">
        <v>76</v>
      </c>
      <c r="C84">
        <v>63</v>
      </c>
      <c r="D84">
        <v>158.53350821380289</v>
      </c>
      <c r="E84">
        <v>1</v>
      </c>
      <c r="F84">
        <v>621.93196626567567</v>
      </c>
      <c r="G84" t="s">
        <v>49</v>
      </c>
      <c r="H84" t="s">
        <v>43</v>
      </c>
      <c r="I84" t="s">
        <v>46</v>
      </c>
    </row>
    <row r="85" spans="1:9" x14ac:dyDescent="0.25">
      <c r="A85" s="2">
        <v>45337</v>
      </c>
      <c r="B85">
        <v>91</v>
      </c>
      <c r="C85">
        <v>42</v>
      </c>
      <c r="D85">
        <v>171.49584102641791</v>
      </c>
      <c r="E85">
        <v>19</v>
      </c>
      <c r="F85">
        <v>1498.874728698273</v>
      </c>
      <c r="G85" t="s">
        <v>18</v>
      </c>
      <c r="H85" t="s">
        <v>42</v>
      </c>
      <c r="I85" t="s">
        <v>46</v>
      </c>
    </row>
    <row r="86" spans="1:9" x14ac:dyDescent="0.25">
      <c r="A86" s="2">
        <v>45338</v>
      </c>
      <c r="B86">
        <v>77</v>
      </c>
      <c r="C86">
        <v>33</v>
      </c>
      <c r="D86">
        <v>480.75531585873608</v>
      </c>
      <c r="E86">
        <v>27</v>
      </c>
      <c r="F86">
        <v>1539.8365846463209</v>
      </c>
      <c r="G86" t="s">
        <v>47</v>
      </c>
      <c r="H86" t="s">
        <v>37</v>
      </c>
      <c r="I86" t="s">
        <v>46</v>
      </c>
    </row>
    <row r="87" spans="1:9" x14ac:dyDescent="0.25">
      <c r="A87" s="2">
        <v>45341</v>
      </c>
      <c r="B87">
        <v>65</v>
      </c>
      <c r="C87">
        <v>45</v>
      </c>
      <c r="D87">
        <v>409.1090316581305</v>
      </c>
      <c r="E87">
        <v>10</v>
      </c>
      <c r="F87">
        <v>3523.5173461942782</v>
      </c>
      <c r="G87" t="s">
        <v>10</v>
      </c>
      <c r="H87" t="s">
        <v>44</v>
      </c>
      <c r="I87" t="s">
        <v>46</v>
      </c>
    </row>
    <row r="88" spans="1:9" x14ac:dyDescent="0.25">
      <c r="A88" s="2">
        <v>45342</v>
      </c>
      <c r="B88">
        <v>64</v>
      </c>
      <c r="C88">
        <v>47</v>
      </c>
      <c r="D88">
        <v>150.56133806139511</v>
      </c>
      <c r="E88">
        <v>3</v>
      </c>
      <c r="F88">
        <v>588.69741989463864</v>
      </c>
      <c r="G88" t="s">
        <v>18</v>
      </c>
      <c r="H88" t="s">
        <v>38</v>
      </c>
      <c r="I88" t="s">
        <v>45</v>
      </c>
    </row>
    <row r="89" spans="1:9" x14ac:dyDescent="0.25">
      <c r="A89" s="2">
        <v>45343</v>
      </c>
      <c r="B89">
        <v>96</v>
      </c>
      <c r="C89">
        <v>34</v>
      </c>
      <c r="D89">
        <v>142.05340305749871</v>
      </c>
      <c r="E89">
        <v>14</v>
      </c>
      <c r="F89">
        <v>968.48861893058233</v>
      </c>
      <c r="G89" t="s">
        <v>18</v>
      </c>
      <c r="H89" t="s">
        <v>43</v>
      </c>
      <c r="I89" t="s">
        <v>45</v>
      </c>
    </row>
    <row r="90" spans="1:9" x14ac:dyDescent="0.25">
      <c r="A90" s="2">
        <v>45344</v>
      </c>
      <c r="B90">
        <v>93</v>
      </c>
      <c r="C90">
        <v>27</v>
      </c>
      <c r="D90">
        <v>450.48456572956002</v>
      </c>
      <c r="E90">
        <v>5</v>
      </c>
      <c r="F90">
        <v>4099.6223841793526</v>
      </c>
      <c r="G90" t="s">
        <v>48</v>
      </c>
      <c r="H90" t="s">
        <v>35</v>
      </c>
      <c r="I90" t="s">
        <v>45</v>
      </c>
    </row>
    <row r="91" spans="1:9" x14ac:dyDescent="0.25">
      <c r="A91" s="2">
        <v>45345</v>
      </c>
      <c r="B91">
        <v>52</v>
      </c>
      <c r="C91">
        <v>75</v>
      </c>
      <c r="D91">
        <v>136.38150318209679</v>
      </c>
      <c r="E91">
        <v>29</v>
      </c>
      <c r="F91">
        <v>1303.450979244501</v>
      </c>
      <c r="G91" t="s">
        <v>9</v>
      </c>
      <c r="H91" t="s">
        <v>40</v>
      </c>
      <c r="I91" t="s">
        <v>46</v>
      </c>
    </row>
    <row r="92" spans="1:9" x14ac:dyDescent="0.25">
      <c r="A92" s="2">
        <v>45348</v>
      </c>
      <c r="B92">
        <v>86</v>
      </c>
      <c r="C92">
        <v>63</v>
      </c>
      <c r="D92">
        <v>510.93002964517808</v>
      </c>
      <c r="E92">
        <v>37</v>
      </c>
      <c r="F92">
        <v>3437.3574853334362</v>
      </c>
      <c r="G92" t="s">
        <v>47</v>
      </c>
      <c r="H92" t="s">
        <v>44</v>
      </c>
      <c r="I92" t="s">
        <v>45</v>
      </c>
    </row>
    <row r="93" spans="1:9" x14ac:dyDescent="0.25">
      <c r="A93" s="2">
        <v>45349</v>
      </c>
      <c r="B93">
        <v>56</v>
      </c>
      <c r="C93">
        <v>44</v>
      </c>
      <c r="D93">
        <v>453.12111357824813</v>
      </c>
      <c r="E93">
        <v>1</v>
      </c>
      <c r="F93">
        <v>1571.8225147102689</v>
      </c>
      <c r="G93" t="s">
        <v>18</v>
      </c>
      <c r="H93" t="s">
        <v>35</v>
      </c>
      <c r="I93" t="s">
        <v>45</v>
      </c>
    </row>
    <row r="94" spans="1:9" x14ac:dyDescent="0.25">
      <c r="A94" s="2">
        <v>45350</v>
      </c>
      <c r="B94">
        <v>70</v>
      </c>
      <c r="C94">
        <v>70</v>
      </c>
      <c r="D94">
        <v>140.6743903209499</v>
      </c>
      <c r="E94">
        <v>14</v>
      </c>
      <c r="F94">
        <v>947.48626741705323</v>
      </c>
      <c r="G94" t="s">
        <v>47</v>
      </c>
      <c r="H94" t="s">
        <v>40</v>
      </c>
      <c r="I94" t="s">
        <v>46</v>
      </c>
    </row>
    <row r="95" spans="1:9" x14ac:dyDescent="0.25">
      <c r="A95" s="2">
        <v>45351</v>
      </c>
      <c r="B95">
        <v>58</v>
      </c>
      <c r="C95">
        <v>50</v>
      </c>
      <c r="D95">
        <v>142.41885704259599</v>
      </c>
      <c r="E95">
        <v>10</v>
      </c>
      <c r="F95">
        <v>1594.274859497543</v>
      </c>
      <c r="G95" t="s">
        <v>49</v>
      </c>
      <c r="H95" t="s">
        <v>44</v>
      </c>
      <c r="I95" t="s">
        <v>46</v>
      </c>
    </row>
    <row r="96" spans="1:9" x14ac:dyDescent="0.25">
      <c r="A96" s="2">
        <v>45352</v>
      </c>
      <c r="B96">
        <v>31</v>
      </c>
      <c r="C96">
        <v>9</v>
      </c>
      <c r="D96">
        <v>209.18</v>
      </c>
      <c r="E96">
        <v>2</v>
      </c>
      <c r="F96">
        <v>4153.3100000000004</v>
      </c>
      <c r="G96" t="s">
        <v>22</v>
      </c>
      <c r="H96" t="s">
        <v>37</v>
      </c>
      <c r="I96" t="s">
        <v>45</v>
      </c>
    </row>
    <row r="97" spans="1:9" x14ac:dyDescent="0.25">
      <c r="A97" s="2">
        <v>45352</v>
      </c>
      <c r="B97">
        <v>21</v>
      </c>
      <c r="C97">
        <v>14</v>
      </c>
      <c r="D97">
        <v>498.82</v>
      </c>
      <c r="E97">
        <v>5</v>
      </c>
      <c r="F97">
        <v>4039.26</v>
      </c>
      <c r="G97" t="s">
        <v>26</v>
      </c>
      <c r="H97" t="s">
        <v>38</v>
      </c>
      <c r="I97" t="s">
        <v>46</v>
      </c>
    </row>
    <row r="98" spans="1:9" x14ac:dyDescent="0.25">
      <c r="A98" s="2">
        <v>45352</v>
      </c>
      <c r="B98">
        <v>16</v>
      </c>
      <c r="C98">
        <v>9</v>
      </c>
      <c r="D98">
        <v>199.87</v>
      </c>
      <c r="E98">
        <v>9</v>
      </c>
      <c r="F98">
        <v>818.64</v>
      </c>
      <c r="G98" t="s">
        <v>19</v>
      </c>
      <c r="H98" t="s">
        <v>38</v>
      </c>
      <c r="I98" t="s">
        <v>45</v>
      </c>
    </row>
    <row r="99" spans="1:9" x14ac:dyDescent="0.25">
      <c r="A99" s="2">
        <v>45352</v>
      </c>
      <c r="B99">
        <v>30</v>
      </c>
      <c r="C99">
        <v>5</v>
      </c>
      <c r="D99">
        <v>565.19000000000005</v>
      </c>
      <c r="E99">
        <v>4</v>
      </c>
      <c r="F99">
        <v>3621.51</v>
      </c>
      <c r="G99" t="s">
        <v>20</v>
      </c>
      <c r="H99" t="s">
        <v>43</v>
      </c>
      <c r="I99" t="s">
        <v>45</v>
      </c>
    </row>
    <row r="100" spans="1:9" x14ac:dyDescent="0.25">
      <c r="A100" s="2">
        <v>45352</v>
      </c>
      <c r="B100">
        <v>68</v>
      </c>
      <c r="C100">
        <v>19</v>
      </c>
      <c r="D100">
        <v>623.25</v>
      </c>
      <c r="E100">
        <v>3</v>
      </c>
      <c r="F100">
        <v>355.96</v>
      </c>
      <c r="G100" t="s">
        <v>21</v>
      </c>
      <c r="H100" t="s">
        <v>40</v>
      </c>
      <c r="I100" t="s">
        <v>46</v>
      </c>
    </row>
    <row r="101" spans="1:9" x14ac:dyDescent="0.25">
      <c r="A101" s="2">
        <v>45352</v>
      </c>
      <c r="B101">
        <v>61</v>
      </c>
      <c r="C101">
        <v>7</v>
      </c>
      <c r="D101">
        <v>190.5</v>
      </c>
      <c r="E101">
        <v>3</v>
      </c>
      <c r="F101">
        <v>661.2</v>
      </c>
      <c r="G101" t="s">
        <v>23</v>
      </c>
      <c r="H101" t="s">
        <v>43</v>
      </c>
      <c r="I101" t="s">
        <v>46</v>
      </c>
    </row>
    <row r="102" spans="1:9" x14ac:dyDescent="0.25">
      <c r="A102" s="2">
        <v>45352</v>
      </c>
      <c r="B102">
        <v>83</v>
      </c>
      <c r="C102">
        <v>5</v>
      </c>
      <c r="D102">
        <v>170.12</v>
      </c>
      <c r="E102">
        <v>3</v>
      </c>
      <c r="F102">
        <v>1171.95</v>
      </c>
      <c r="G102" t="s">
        <v>24</v>
      </c>
      <c r="H102" t="s">
        <v>41</v>
      </c>
      <c r="I102" t="s">
        <v>45</v>
      </c>
    </row>
    <row r="103" spans="1:9" x14ac:dyDescent="0.25">
      <c r="A103" s="2">
        <v>45352</v>
      </c>
      <c r="B103">
        <v>74</v>
      </c>
      <c r="C103">
        <v>7</v>
      </c>
      <c r="D103">
        <v>87.89</v>
      </c>
      <c r="E103">
        <v>7</v>
      </c>
      <c r="F103">
        <v>3848.14</v>
      </c>
      <c r="G103" t="s">
        <v>25</v>
      </c>
      <c r="H103" t="s">
        <v>37</v>
      </c>
      <c r="I103" t="s">
        <v>45</v>
      </c>
    </row>
    <row r="104" spans="1:9" x14ac:dyDescent="0.25">
      <c r="A104" s="2">
        <v>45352</v>
      </c>
      <c r="B104">
        <v>84</v>
      </c>
      <c r="C104">
        <v>15</v>
      </c>
      <c r="D104">
        <v>163.21</v>
      </c>
      <c r="E104">
        <v>5</v>
      </c>
      <c r="F104">
        <v>411.36</v>
      </c>
      <c r="G104" t="s">
        <v>27</v>
      </c>
      <c r="H104" t="s">
        <v>43</v>
      </c>
      <c r="I104" t="s">
        <v>45</v>
      </c>
    </row>
    <row r="105" spans="1:9" x14ac:dyDescent="0.25">
      <c r="A105" s="2">
        <v>45352</v>
      </c>
      <c r="B105">
        <v>64</v>
      </c>
      <c r="C105">
        <v>13</v>
      </c>
      <c r="D105">
        <v>496.4</v>
      </c>
      <c r="E105">
        <v>0</v>
      </c>
      <c r="F105">
        <v>1306.3800000000001</v>
      </c>
      <c r="G105" t="s">
        <v>28</v>
      </c>
      <c r="H105" t="s">
        <v>38</v>
      </c>
      <c r="I105" t="s">
        <v>45</v>
      </c>
    </row>
    <row r="106" spans="1:9" x14ac:dyDescent="0.25">
      <c r="A106" s="2">
        <v>45352</v>
      </c>
      <c r="B106">
        <v>21</v>
      </c>
      <c r="C106">
        <v>13</v>
      </c>
      <c r="D106">
        <v>315.41000000000003</v>
      </c>
      <c r="E106">
        <v>1</v>
      </c>
      <c r="F106">
        <v>1692.59</v>
      </c>
      <c r="G106" t="s">
        <v>29</v>
      </c>
      <c r="H106" t="s">
        <v>38</v>
      </c>
      <c r="I106" t="s">
        <v>46</v>
      </c>
    </row>
    <row r="107" spans="1:9" x14ac:dyDescent="0.25">
      <c r="A107" s="2">
        <v>45352</v>
      </c>
      <c r="B107">
        <v>110</v>
      </c>
      <c r="C107">
        <v>6</v>
      </c>
      <c r="D107">
        <v>535.37</v>
      </c>
      <c r="E107">
        <v>2</v>
      </c>
      <c r="F107">
        <v>3113.29</v>
      </c>
      <c r="G107" t="s">
        <v>30</v>
      </c>
      <c r="H107" t="s">
        <v>36</v>
      </c>
      <c r="I107" t="s">
        <v>45</v>
      </c>
    </row>
    <row r="108" spans="1:9" x14ac:dyDescent="0.25">
      <c r="A108" s="2">
        <v>45352</v>
      </c>
      <c r="B108">
        <v>54</v>
      </c>
      <c r="C108">
        <v>15</v>
      </c>
      <c r="D108">
        <v>321.99</v>
      </c>
      <c r="E108">
        <v>8</v>
      </c>
      <c r="F108">
        <v>1080.0899999999999</v>
      </c>
      <c r="G108" t="s">
        <v>18</v>
      </c>
      <c r="H108" t="s">
        <v>44</v>
      </c>
      <c r="I108" t="s">
        <v>46</v>
      </c>
    </row>
    <row r="109" spans="1:9" x14ac:dyDescent="0.25">
      <c r="A109" s="2">
        <v>45352</v>
      </c>
      <c r="B109">
        <v>62</v>
      </c>
      <c r="C109">
        <v>8</v>
      </c>
      <c r="D109">
        <v>198.84</v>
      </c>
      <c r="E109">
        <v>8</v>
      </c>
      <c r="F109">
        <v>534.58000000000004</v>
      </c>
      <c r="G109" t="s">
        <v>31</v>
      </c>
      <c r="H109" t="s">
        <v>35</v>
      </c>
      <c r="I109" t="s">
        <v>45</v>
      </c>
    </row>
    <row r="110" spans="1:9" x14ac:dyDescent="0.25">
      <c r="A110" s="2">
        <v>45352</v>
      </c>
      <c r="B110">
        <v>28</v>
      </c>
      <c r="C110">
        <v>12</v>
      </c>
      <c r="D110">
        <v>533.85</v>
      </c>
      <c r="E110">
        <v>5</v>
      </c>
      <c r="F110">
        <v>224.87</v>
      </c>
      <c r="G110" t="s">
        <v>33</v>
      </c>
      <c r="H110" t="s">
        <v>43</v>
      </c>
      <c r="I110" t="s">
        <v>45</v>
      </c>
    </row>
    <row r="111" spans="1:9" x14ac:dyDescent="0.25">
      <c r="A111" s="2">
        <v>45352</v>
      </c>
      <c r="B111">
        <v>39</v>
      </c>
      <c r="C111">
        <v>16</v>
      </c>
      <c r="D111">
        <v>312.8</v>
      </c>
      <c r="E111">
        <v>8</v>
      </c>
      <c r="F111">
        <v>4592.09</v>
      </c>
      <c r="G111" t="s">
        <v>34</v>
      </c>
      <c r="H111" t="s">
        <v>36</v>
      </c>
      <c r="I111" t="s">
        <v>46</v>
      </c>
    </row>
    <row r="112" spans="1:9" x14ac:dyDescent="0.25">
      <c r="A112" s="2">
        <v>45352</v>
      </c>
      <c r="B112">
        <v>62</v>
      </c>
      <c r="C112">
        <v>9</v>
      </c>
      <c r="D112">
        <v>252.77</v>
      </c>
      <c r="E112">
        <v>7</v>
      </c>
      <c r="F112">
        <v>4641.6099999999997</v>
      </c>
      <c r="G112" t="s">
        <v>16</v>
      </c>
      <c r="H112" t="s">
        <v>43</v>
      </c>
      <c r="I112" t="s">
        <v>45</v>
      </c>
    </row>
    <row r="113" spans="1:9" x14ac:dyDescent="0.25">
      <c r="A113" s="2">
        <v>45352</v>
      </c>
      <c r="B113">
        <v>88</v>
      </c>
      <c r="C113">
        <v>18</v>
      </c>
      <c r="D113">
        <v>291.04000000000002</v>
      </c>
      <c r="E113">
        <v>2</v>
      </c>
      <c r="F113">
        <v>2619.84</v>
      </c>
      <c r="G113" t="s">
        <v>15</v>
      </c>
      <c r="H113" t="s">
        <v>35</v>
      </c>
      <c r="I113" t="s">
        <v>45</v>
      </c>
    </row>
    <row r="114" spans="1:9" x14ac:dyDescent="0.25">
      <c r="A114" s="2">
        <v>45352</v>
      </c>
      <c r="B114">
        <v>50</v>
      </c>
      <c r="C114">
        <v>8</v>
      </c>
      <c r="D114">
        <v>512.92999999999995</v>
      </c>
      <c r="E114">
        <v>3</v>
      </c>
      <c r="F114">
        <v>3725.66</v>
      </c>
      <c r="G114" t="s">
        <v>14</v>
      </c>
      <c r="H114" t="s">
        <v>35</v>
      </c>
      <c r="I114" t="s">
        <v>45</v>
      </c>
    </row>
    <row r="115" spans="1:9" x14ac:dyDescent="0.25">
      <c r="A115" s="2">
        <v>45352</v>
      </c>
      <c r="B115">
        <v>77</v>
      </c>
      <c r="C115">
        <v>14</v>
      </c>
      <c r="D115">
        <v>494.43</v>
      </c>
      <c r="E115">
        <v>4</v>
      </c>
      <c r="F115">
        <v>963.35</v>
      </c>
      <c r="G115" t="s">
        <v>13</v>
      </c>
      <c r="H115" t="s">
        <v>37</v>
      </c>
      <c r="I115" t="s">
        <v>46</v>
      </c>
    </row>
    <row r="116" spans="1:9" x14ac:dyDescent="0.25">
      <c r="A116" s="2">
        <v>45352</v>
      </c>
      <c r="B116">
        <v>19</v>
      </c>
      <c r="C116">
        <v>6</v>
      </c>
      <c r="D116">
        <v>82.65</v>
      </c>
      <c r="E116">
        <v>3</v>
      </c>
      <c r="F116">
        <v>1469.62</v>
      </c>
      <c r="G116" t="s">
        <v>12</v>
      </c>
      <c r="H116" t="s">
        <v>43</v>
      </c>
      <c r="I116" t="s">
        <v>46</v>
      </c>
    </row>
    <row r="117" spans="1:9" x14ac:dyDescent="0.25">
      <c r="A117" s="2">
        <v>45352</v>
      </c>
      <c r="B117">
        <v>59</v>
      </c>
      <c r="C117">
        <v>13</v>
      </c>
      <c r="D117">
        <v>402.9</v>
      </c>
      <c r="E117">
        <v>2</v>
      </c>
      <c r="F117">
        <v>3357.27</v>
      </c>
      <c r="G117" t="s">
        <v>11</v>
      </c>
      <c r="H117" t="s">
        <v>43</v>
      </c>
      <c r="I117" t="s">
        <v>45</v>
      </c>
    </row>
    <row r="118" spans="1:9" x14ac:dyDescent="0.25">
      <c r="A118" s="2">
        <v>45352</v>
      </c>
      <c r="B118">
        <v>91</v>
      </c>
      <c r="C118">
        <v>10</v>
      </c>
      <c r="D118">
        <v>361.58</v>
      </c>
      <c r="E118">
        <v>4</v>
      </c>
      <c r="F118">
        <v>3674.37</v>
      </c>
      <c r="G118" t="s">
        <v>10</v>
      </c>
      <c r="H118" t="s">
        <v>44</v>
      </c>
      <c r="I118" t="s">
        <v>45</v>
      </c>
    </row>
    <row r="119" spans="1:9" x14ac:dyDescent="0.25">
      <c r="A119" s="2">
        <v>45352</v>
      </c>
      <c r="B119">
        <v>55</v>
      </c>
      <c r="C119">
        <v>17</v>
      </c>
      <c r="D119">
        <v>315.62</v>
      </c>
      <c r="E119">
        <v>5</v>
      </c>
      <c r="F119">
        <v>3890.73</v>
      </c>
      <c r="G119" t="s">
        <v>9</v>
      </c>
      <c r="H119" t="s">
        <v>38</v>
      </c>
      <c r="I119" t="s">
        <v>46</v>
      </c>
    </row>
    <row r="120" spans="1:9" x14ac:dyDescent="0.25">
      <c r="A120" s="2">
        <v>45352</v>
      </c>
      <c r="B120">
        <v>108</v>
      </c>
      <c r="C120">
        <v>14</v>
      </c>
      <c r="D120">
        <v>416.78</v>
      </c>
      <c r="E120">
        <v>1</v>
      </c>
      <c r="F120">
        <v>2989.69</v>
      </c>
      <c r="G120" t="s">
        <v>32</v>
      </c>
      <c r="H120" t="s">
        <v>35</v>
      </c>
      <c r="I120" t="s">
        <v>45</v>
      </c>
    </row>
    <row r="121" spans="1:9" x14ac:dyDescent="0.25">
      <c r="A121" s="2">
        <v>45352</v>
      </c>
      <c r="B121">
        <v>33</v>
      </c>
      <c r="C121">
        <v>18</v>
      </c>
      <c r="D121">
        <v>348.57</v>
      </c>
      <c r="E121">
        <v>8</v>
      </c>
      <c r="F121">
        <v>1169.6400000000001</v>
      </c>
      <c r="G121" t="s">
        <v>17</v>
      </c>
      <c r="H121" t="s">
        <v>41</v>
      </c>
      <c r="I121" t="s">
        <v>45</v>
      </c>
    </row>
    <row r="122" spans="1:9" x14ac:dyDescent="0.25">
      <c r="A122" s="2">
        <v>45355</v>
      </c>
      <c r="B122">
        <v>88</v>
      </c>
      <c r="C122">
        <v>42</v>
      </c>
      <c r="D122">
        <v>593.31978925058775</v>
      </c>
      <c r="E122">
        <v>7</v>
      </c>
      <c r="F122">
        <v>3750.2011933504659</v>
      </c>
      <c r="G122" t="s">
        <v>48</v>
      </c>
      <c r="H122" t="s">
        <v>37</v>
      </c>
      <c r="I122" t="s">
        <v>46</v>
      </c>
    </row>
    <row r="123" spans="1:9" x14ac:dyDescent="0.25">
      <c r="A123" s="2">
        <v>45356</v>
      </c>
      <c r="B123">
        <v>67</v>
      </c>
      <c r="C123">
        <v>77</v>
      </c>
      <c r="D123">
        <v>287.13539787806019</v>
      </c>
      <c r="E123">
        <v>25</v>
      </c>
      <c r="F123">
        <v>4350.6341064782864</v>
      </c>
      <c r="G123" t="s">
        <v>49</v>
      </c>
      <c r="H123" t="s">
        <v>43</v>
      </c>
      <c r="I123" t="s">
        <v>45</v>
      </c>
    </row>
    <row r="124" spans="1:9" x14ac:dyDescent="0.25">
      <c r="A124" s="2">
        <v>45357</v>
      </c>
      <c r="B124">
        <v>53</v>
      </c>
      <c r="C124">
        <v>42</v>
      </c>
      <c r="D124">
        <v>285.32107353344537</v>
      </c>
      <c r="E124">
        <v>4</v>
      </c>
      <c r="F124">
        <v>4235.9893905514618</v>
      </c>
      <c r="G124" t="s">
        <v>47</v>
      </c>
      <c r="H124" t="s">
        <v>44</v>
      </c>
      <c r="I124" t="s">
        <v>45</v>
      </c>
    </row>
    <row r="125" spans="1:9" x14ac:dyDescent="0.25">
      <c r="A125" s="2">
        <v>45358</v>
      </c>
      <c r="B125">
        <v>74</v>
      </c>
      <c r="C125">
        <v>23</v>
      </c>
      <c r="D125">
        <v>506.39978362875132</v>
      </c>
      <c r="E125">
        <v>5</v>
      </c>
      <c r="F125">
        <v>2287.325883283047</v>
      </c>
      <c r="G125" t="s">
        <v>12</v>
      </c>
      <c r="H125" t="s">
        <v>42</v>
      </c>
      <c r="I125" t="s">
        <v>46</v>
      </c>
    </row>
    <row r="126" spans="1:9" x14ac:dyDescent="0.25">
      <c r="A126" s="2">
        <v>45359</v>
      </c>
      <c r="B126">
        <v>63</v>
      </c>
      <c r="C126">
        <v>30</v>
      </c>
      <c r="D126">
        <v>573.62428869192934</v>
      </c>
      <c r="E126">
        <v>25</v>
      </c>
      <c r="F126">
        <v>3506.3831145679078</v>
      </c>
      <c r="G126" t="s">
        <v>10</v>
      </c>
      <c r="H126" t="s">
        <v>38</v>
      </c>
      <c r="I126" t="s">
        <v>46</v>
      </c>
    </row>
    <row r="127" spans="1:9" x14ac:dyDescent="0.25">
      <c r="A127" s="2">
        <v>45362</v>
      </c>
      <c r="B127">
        <v>99</v>
      </c>
      <c r="C127">
        <v>57</v>
      </c>
      <c r="D127">
        <v>593.00053191143547</v>
      </c>
      <c r="E127">
        <v>3</v>
      </c>
      <c r="F127">
        <v>1422.4293293711939</v>
      </c>
      <c r="G127" t="s">
        <v>47</v>
      </c>
      <c r="H127" t="s">
        <v>36</v>
      </c>
      <c r="I127" t="s">
        <v>45</v>
      </c>
    </row>
    <row r="128" spans="1:9" x14ac:dyDescent="0.25">
      <c r="A128" s="2">
        <v>45363</v>
      </c>
      <c r="B128">
        <v>58</v>
      </c>
      <c r="C128">
        <v>29</v>
      </c>
      <c r="D128">
        <v>476.68909262947079</v>
      </c>
      <c r="E128">
        <v>18</v>
      </c>
      <c r="F128">
        <v>1819.16478617456</v>
      </c>
      <c r="G128" t="s">
        <v>9</v>
      </c>
      <c r="H128" t="s">
        <v>42</v>
      </c>
      <c r="I128" t="s">
        <v>45</v>
      </c>
    </row>
    <row r="129" spans="1:9" x14ac:dyDescent="0.25">
      <c r="A129" s="2">
        <v>45364</v>
      </c>
      <c r="B129">
        <v>75</v>
      </c>
      <c r="C129">
        <v>17</v>
      </c>
      <c r="D129">
        <v>288.12979276545792</v>
      </c>
      <c r="E129">
        <v>19</v>
      </c>
      <c r="F129">
        <v>4533.5111833450392</v>
      </c>
      <c r="G129" t="s">
        <v>18</v>
      </c>
      <c r="H129" t="s">
        <v>42</v>
      </c>
      <c r="I129" t="s">
        <v>46</v>
      </c>
    </row>
    <row r="130" spans="1:9" x14ac:dyDescent="0.25">
      <c r="A130" s="2">
        <v>45365</v>
      </c>
      <c r="B130">
        <v>51</v>
      </c>
      <c r="C130">
        <v>16</v>
      </c>
      <c r="D130">
        <v>141.75035834933439</v>
      </c>
      <c r="E130">
        <v>32</v>
      </c>
      <c r="F130">
        <v>558.50865579831213</v>
      </c>
      <c r="G130" t="s">
        <v>18</v>
      </c>
      <c r="H130" t="s">
        <v>38</v>
      </c>
      <c r="I130" t="s">
        <v>46</v>
      </c>
    </row>
    <row r="131" spans="1:9" x14ac:dyDescent="0.25">
      <c r="A131" s="2">
        <v>45366</v>
      </c>
      <c r="B131">
        <v>69</v>
      </c>
      <c r="C131">
        <v>76</v>
      </c>
      <c r="D131">
        <v>488.5734579637184</v>
      </c>
      <c r="E131">
        <v>19</v>
      </c>
      <c r="F131">
        <v>884.78838884510628</v>
      </c>
      <c r="G131" t="s">
        <v>49</v>
      </c>
      <c r="H131" t="s">
        <v>36</v>
      </c>
      <c r="I131" t="s">
        <v>45</v>
      </c>
    </row>
    <row r="132" spans="1:9" x14ac:dyDescent="0.25">
      <c r="A132" s="2">
        <v>45369</v>
      </c>
      <c r="B132">
        <v>77</v>
      </c>
      <c r="C132">
        <v>26</v>
      </c>
      <c r="D132">
        <v>379.20212486790251</v>
      </c>
      <c r="E132">
        <v>11</v>
      </c>
      <c r="F132">
        <v>1435.4881481571231</v>
      </c>
      <c r="G132" t="s">
        <v>10</v>
      </c>
      <c r="H132" t="s">
        <v>42</v>
      </c>
      <c r="I132" t="s">
        <v>46</v>
      </c>
    </row>
    <row r="133" spans="1:9" x14ac:dyDescent="0.25">
      <c r="A133" s="2">
        <v>45370</v>
      </c>
      <c r="B133">
        <v>96</v>
      </c>
      <c r="C133">
        <v>42</v>
      </c>
      <c r="D133">
        <v>312.11100462348821</v>
      </c>
      <c r="E133">
        <v>0</v>
      </c>
      <c r="F133">
        <v>619.39491743218878</v>
      </c>
      <c r="G133" t="s">
        <v>48</v>
      </c>
      <c r="H133" t="s">
        <v>44</v>
      </c>
      <c r="I133" t="s">
        <v>45</v>
      </c>
    </row>
    <row r="134" spans="1:9" x14ac:dyDescent="0.25">
      <c r="A134" s="2">
        <v>45371</v>
      </c>
      <c r="B134">
        <v>56</v>
      </c>
      <c r="C134">
        <v>57</v>
      </c>
      <c r="D134">
        <v>553.17719254736801</v>
      </c>
      <c r="E134">
        <v>25</v>
      </c>
      <c r="F134">
        <v>1316.4594579040879</v>
      </c>
      <c r="G134" t="s">
        <v>12</v>
      </c>
      <c r="H134" t="s">
        <v>44</v>
      </c>
      <c r="I134" t="s">
        <v>45</v>
      </c>
    </row>
    <row r="135" spans="1:9" x14ac:dyDescent="0.25">
      <c r="A135" s="2">
        <v>45372</v>
      </c>
      <c r="B135">
        <v>93</v>
      </c>
      <c r="C135">
        <v>68</v>
      </c>
      <c r="D135">
        <v>155.59874115307571</v>
      </c>
      <c r="E135">
        <v>13</v>
      </c>
      <c r="F135">
        <v>3123.6870243636149</v>
      </c>
      <c r="G135" t="s">
        <v>34</v>
      </c>
      <c r="H135" t="s">
        <v>44</v>
      </c>
      <c r="I135" t="s">
        <v>45</v>
      </c>
    </row>
    <row r="136" spans="1:9" x14ac:dyDescent="0.25">
      <c r="A136" s="2">
        <v>45373</v>
      </c>
      <c r="B136">
        <v>57</v>
      </c>
      <c r="C136">
        <v>31</v>
      </c>
      <c r="D136">
        <v>346.31255214542949</v>
      </c>
      <c r="E136">
        <v>37</v>
      </c>
      <c r="F136">
        <v>2396.4104776662411</v>
      </c>
      <c r="G136" t="s">
        <v>10</v>
      </c>
      <c r="H136" t="s">
        <v>36</v>
      </c>
      <c r="I136" t="s">
        <v>45</v>
      </c>
    </row>
    <row r="137" spans="1:9" x14ac:dyDescent="0.25">
      <c r="A137" s="2">
        <v>45376</v>
      </c>
      <c r="B137">
        <v>96</v>
      </c>
      <c r="C137">
        <v>39</v>
      </c>
      <c r="D137">
        <v>105.67682238370951</v>
      </c>
      <c r="E137">
        <v>36</v>
      </c>
      <c r="F137">
        <v>4517.0226998463868</v>
      </c>
      <c r="G137" t="s">
        <v>18</v>
      </c>
      <c r="H137" t="s">
        <v>42</v>
      </c>
      <c r="I137" t="s">
        <v>46</v>
      </c>
    </row>
    <row r="138" spans="1:9" x14ac:dyDescent="0.25">
      <c r="A138" s="2">
        <v>45377</v>
      </c>
      <c r="B138">
        <v>84</v>
      </c>
      <c r="C138">
        <v>47</v>
      </c>
      <c r="D138">
        <v>334.33032099706321</v>
      </c>
      <c r="E138">
        <v>10</v>
      </c>
      <c r="F138">
        <v>4178.4960278229846</v>
      </c>
      <c r="G138" t="s">
        <v>9</v>
      </c>
      <c r="H138" t="s">
        <v>40</v>
      </c>
      <c r="I138" t="s">
        <v>46</v>
      </c>
    </row>
    <row r="139" spans="1:9" x14ac:dyDescent="0.25">
      <c r="A139" s="2">
        <v>45378</v>
      </c>
      <c r="B139">
        <v>63</v>
      </c>
      <c r="C139">
        <v>60</v>
      </c>
      <c r="D139">
        <v>128.15163784091871</v>
      </c>
      <c r="E139">
        <v>35</v>
      </c>
      <c r="F139">
        <v>2038.178082640442</v>
      </c>
      <c r="G139" t="s">
        <v>10</v>
      </c>
      <c r="H139" t="s">
        <v>36</v>
      </c>
      <c r="I139" t="s">
        <v>45</v>
      </c>
    </row>
    <row r="140" spans="1:9" x14ac:dyDescent="0.25">
      <c r="A140" s="2">
        <v>45379</v>
      </c>
      <c r="B140">
        <v>66</v>
      </c>
      <c r="C140">
        <v>63</v>
      </c>
      <c r="D140">
        <v>159.408958134036</v>
      </c>
      <c r="E140">
        <v>12</v>
      </c>
      <c r="F140">
        <v>1667.4054504408159</v>
      </c>
      <c r="G140" t="s">
        <v>49</v>
      </c>
      <c r="H140" t="s">
        <v>44</v>
      </c>
      <c r="I140" t="s">
        <v>45</v>
      </c>
    </row>
    <row r="141" spans="1:9" x14ac:dyDescent="0.25">
      <c r="A141" s="2">
        <v>45380</v>
      </c>
      <c r="B141">
        <v>85</v>
      </c>
      <c r="C141">
        <v>17</v>
      </c>
      <c r="D141">
        <v>158.76312338855249</v>
      </c>
      <c r="E141">
        <v>2</v>
      </c>
      <c r="F141">
        <v>2208.6158367527009</v>
      </c>
      <c r="G141" t="s">
        <v>49</v>
      </c>
      <c r="H141" t="s">
        <v>38</v>
      </c>
      <c r="I141" t="s">
        <v>45</v>
      </c>
    </row>
    <row r="142" spans="1:9" x14ac:dyDescent="0.25">
      <c r="A142" s="2">
        <v>45383</v>
      </c>
      <c r="B142">
        <v>83</v>
      </c>
      <c r="C142">
        <v>11</v>
      </c>
      <c r="D142">
        <v>365.12</v>
      </c>
      <c r="E142">
        <v>5</v>
      </c>
      <c r="F142">
        <v>3682.69</v>
      </c>
      <c r="G142" t="s">
        <v>10</v>
      </c>
      <c r="H142" t="s">
        <v>36</v>
      </c>
      <c r="I142" t="s">
        <v>45</v>
      </c>
    </row>
    <row r="143" spans="1:9" x14ac:dyDescent="0.25">
      <c r="A143" s="2">
        <v>45383</v>
      </c>
      <c r="B143">
        <v>41</v>
      </c>
      <c r="C143">
        <v>14</v>
      </c>
      <c r="D143">
        <v>416.88</v>
      </c>
      <c r="E143">
        <v>2</v>
      </c>
      <c r="F143">
        <v>3638.83</v>
      </c>
      <c r="G143" t="s">
        <v>11</v>
      </c>
      <c r="H143" t="s">
        <v>41</v>
      </c>
      <c r="I143" t="s">
        <v>46</v>
      </c>
    </row>
    <row r="144" spans="1:9" x14ac:dyDescent="0.25">
      <c r="A144" s="2">
        <v>45383</v>
      </c>
      <c r="B144">
        <v>17</v>
      </c>
      <c r="C144">
        <v>7</v>
      </c>
      <c r="D144">
        <v>81.14</v>
      </c>
      <c r="E144">
        <v>3</v>
      </c>
      <c r="F144">
        <v>1419.04</v>
      </c>
      <c r="G144" t="s">
        <v>12</v>
      </c>
      <c r="H144" t="s">
        <v>36</v>
      </c>
      <c r="I144" t="s">
        <v>45</v>
      </c>
    </row>
    <row r="145" spans="1:9" x14ac:dyDescent="0.25">
      <c r="A145" s="2">
        <v>45383</v>
      </c>
      <c r="B145">
        <v>76</v>
      </c>
      <c r="C145">
        <v>16</v>
      </c>
      <c r="D145">
        <v>449.04</v>
      </c>
      <c r="E145">
        <v>4</v>
      </c>
      <c r="F145">
        <v>1019.97</v>
      </c>
      <c r="G145" t="s">
        <v>13</v>
      </c>
      <c r="H145" t="s">
        <v>41</v>
      </c>
      <c r="I145" t="s">
        <v>45</v>
      </c>
    </row>
    <row r="146" spans="1:9" x14ac:dyDescent="0.25">
      <c r="A146" s="2">
        <v>45383</v>
      </c>
      <c r="B146">
        <v>72</v>
      </c>
      <c r="C146">
        <v>6</v>
      </c>
      <c r="D146">
        <v>508.55</v>
      </c>
      <c r="E146">
        <v>3</v>
      </c>
      <c r="F146">
        <v>3633.75</v>
      </c>
      <c r="G146" t="s">
        <v>14</v>
      </c>
      <c r="H146" t="s">
        <v>36</v>
      </c>
      <c r="I146" t="s">
        <v>46</v>
      </c>
    </row>
    <row r="147" spans="1:9" x14ac:dyDescent="0.25">
      <c r="A147" s="2">
        <v>45383</v>
      </c>
      <c r="B147">
        <v>72</v>
      </c>
      <c r="C147">
        <v>18</v>
      </c>
      <c r="D147">
        <v>299.08999999999997</v>
      </c>
      <c r="E147">
        <v>2</v>
      </c>
      <c r="F147">
        <v>2378.29</v>
      </c>
      <c r="G147" t="s">
        <v>15</v>
      </c>
      <c r="H147" t="s">
        <v>41</v>
      </c>
      <c r="I147" t="s">
        <v>46</v>
      </c>
    </row>
    <row r="148" spans="1:9" x14ac:dyDescent="0.25">
      <c r="A148" s="2">
        <v>45383</v>
      </c>
      <c r="B148">
        <v>91</v>
      </c>
      <c r="C148">
        <v>5</v>
      </c>
      <c r="D148">
        <v>605.11</v>
      </c>
      <c r="E148">
        <v>2</v>
      </c>
      <c r="F148">
        <v>3499.88</v>
      </c>
      <c r="G148" t="s">
        <v>30</v>
      </c>
      <c r="H148" t="s">
        <v>42</v>
      </c>
      <c r="I148" t="s">
        <v>46</v>
      </c>
    </row>
    <row r="149" spans="1:9" x14ac:dyDescent="0.25">
      <c r="A149" s="2">
        <v>45383</v>
      </c>
      <c r="B149">
        <v>29</v>
      </c>
      <c r="C149">
        <v>16</v>
      </c>
      <c r="D149">
        <v>412.07</v>
      </c>
      <c r="E149">
        <v>10</v>
      </c>
      <c r="F149">
        <v>1075.94</v>
      </c>
      <c r="G149" t="s">
        <v>17</v>
      </c>
      <c r="H149" t="s">
        <v>42</v>
      </c>
      <c r="I149" t="s">
        <v>45</v>
      </c>
    </row>
    <row r="150" spans="1:9" x14ac:dyDescent="0.25">
      <c r="A150" s="2">
        <v>45383</v>
      </c>
      <c r="B150">
        <v>69</v>
      </c>
      <c r="C150">
        <v>17</v>
      </c>
      <c r="D150">
        <v>342.81</v>
      </c>
      <c r="E150">
        <v>6</v>
      </c>
      <c r="F150">
        <v>3728.2</v>
      </c>
      <c r="G150" t="s">
        <v>9</v>
      </c>
      <c r="H150" t="s">
        <v>39</v>
      </c>
      <c r="I150" t="s">
        <v>45</v>
      </c>
    </row>
    <row r="151" spans="1:9" x14ac:dyDescent="0.25">
      <c r="A151" s="2">
        <v>45383</v>
      </c>
      <c r="B151">
        <v>64</v>
      </c>
      <c r="C151">
        <v>13</v>
      </c>
      <c r="D151">
        <v>317.58</v>
      </c>
      <c r="E151">
        <v>8</v>
      </c>
      <c r="F151">
        <v>1088.22</v>
      </c>
      <c r="G151" t="s">
        <v>18</v>
      </c>
      <c r="H151" t="s">
        <v>41</v>
      </c>
      <c r="I151" t="s">
        <v>45</v>
      </c>
    </row>
    <row r="152" spans="1:9" x14ac:dyDescent="0.25">
      <c r="A152" s="2">
        <v>45383</v>
      </c>
      <c r="B152">
        <v>16</v>
      </c>
      <c r="C152">
        <v>7</v>
      </c>
      <c r="D152">
        <v>181.58</v>
      </c>
      <c r="E152">
        <v>6</v>
      </c>
      <c r="F152">
        <v>868.4</v>
      </c>
      <c r="G152" t="s">
        <v>19</v>
      </c>
      <c r="H152" t="s">
        <v>39</v>
      </c>
      <c r="I152" t="s">
        <v>46</v>
      </c>
    </row>
    <row r="153" spans="1:9" x14ac:dyDescent="0.25">
      <c r="A153" s="2">
        <v>45383</v>
      </c>
      <c r="B153">
        <v>37</v>
      </c>
      <c r="C153">
        <v>7</v>
      </c>
      <c r="D153">
        <v>470.85</v>
      </c>
      <c r="E153">
        <v>7</v>
      </c>
      <c r="F153">
        <v>3483.6</v>
      </c>
      <c r="G153" t="s">
        <v>20</v>
      </c>
      <c r="H153" t="s">
        <v>40</v>
      </c>
      <c r="I153" t="s">
        <v>45</v>
      </c>
    </row>
    <row r="154" spans="1:9" x14ac:dyDescent="0.25">
      <c r="A154" s="2">
        <v>45383</v>
      </c>
      <c r="B154">
        <v>81</v>
      </c>
      <c r="C154">
        <v>16</v>
      </c>
      <c r="D154">
        <v>584.29999999999995</v>
      </c>
      <c r="E154">
        <v>3</v>
      </c>
      <c r="F154">
        <v>377.45</v>
      </c>
      <c r="G154" t="s">
        <v>21</v>
      </c>
      <c r="H154" t="s">
        <v>38</v>
      </c>
      <c r="I154" t="s">
        <v>46</v>
      </c>
    </row>
    <row r="155" spans="1:9" x14ac:dyDescent="0.25">
      <c r="A155" s="2">
        <v>45383</v>
      </c>
      <c r="B155">
        <v>44</v>
      </c>
      <c r="C155">
        <v>6</v>
      </c>
      <c r="D155">
        <v>246.21</v>
      </c>
      <c r="E155">
        <v>5</v>
      </c>
      <c r="F155">
        <v>4155.8</v>
      </c>
      <c r="G155" t="s">
        <v>16</v>
      </c>
      <c r="H155" t="s">
        <v>43</v>
      </c>
      <c r="I155" t="s">
        <v>46</v>
      </c>
    </row>
    <row r="156" spans="1:9" x14ac:dyDescent="0.25">
      <c r="A156" s="2">
        <v>45383</v>
      </c>
      <c r="B156">
        <v>103</v>
      </c>
      <c r="C156">
        <v>6</v>
      </c>
      <c r="D156">
        <v>165.74</v>
      </c>
      <c r="E156">
        <v>6</v>
      </c>
      <c r="F156">
        <v>1169.3800000000001</v>
      </c>
      <c r="G156" t="s">
        <v>24</v>
      </c>
      <c r="H156" t="s">
        <v>41</v>
      </c>
      <c r="I156" t="s">
        <v>45</v>
      </c>
    </row>
    <row r="157" spans="1:9" x14ac:dyDescent="0.25">
      <c r="A157" s="2">
        <v>45383</v>
      </c>
      <c r="B157">
        <v>63</v>
      </c>
      <c r="C157">
        <v>11</v>
      </c>
      <c r="D157">
        <v>554.51</v>
      </c>
      <c r="E157">
        <v>1</v>
      </c>
      <c r="F157">
        <v>1138.51</v>
      </c>
      <c r="G157" t="s">
        <v>28</v>
      </c>
      <c r="H157" t="s">
        <v>42</v>
      </c>
      <c r="I157" t="s">
        <v>46</v>
      </c>
    </row>
    <row r="158" spans="1:9" x14ac:dyDescent="0.25">
      <c r="A158" s="2">
        <v>45383</v>
      </c>
      <c r="B158">
        <v>26</v>
      </c>
      <c r="C158">
        <v>17</v>
      </c>
      <c r="D158">
        <v>526.34</v>
      </c>
      <c r="E158">
        <v>6</v>
      </c>
      <c r="F158">
        <v>3360.11</v>
      </c>
      <c r="G158" t="s">
        <v>26</v>
      </c>
      <c r="H158" t="s">
        <v>44</v>
      </c>
      <c r="I158" t="s">
        <v>46</v>
      </c>
    </row>
    <row r="159" spans="1:9" x14ac:dyDescent="0.25">
      <c r="A159" s="2">
        <v>45383</v>
      </c>
      <c r="B159">
        <v>104</v>
      </c>
      <c r="C159">
        <v>22</v>
      </c>
      <c r="D159">
        <v>190.87</v>
      </c>
      <c r="E159">
        <v>4</v>
      </c>
      <c r="F159">
        <v>433.41</v>
      </c>
      <c r="G159" t="s">
        <v>27</v>
      </c>
      <c r="H159" t="s">
        <v>36</v>
      </c>
      <c r="I159" t="s">
        <v>45</v>
      </c>
    </row>
    <row r="160" spans="1:9" x14ac:dyDescent="0.25">
      <c r="A160" s="2">
        <v>45383</v>
      </c>
      <c r="B160">
        <v>26</v>
      </c>
      <c r="C160">
        <v>6</v>
      </c>
      <c r="D160">
        <v>231.59</v>
      </c>
      <c r="E160">
        <v>2</v>
      </c>
      <c r="F160">
        <v>3988.15</v>
      </c>
      <c r="G160" t="s">
        <v>22</v>
      </c>
      <c r="H160" t="s">
        <v>42</v>
      </c>
      <c r="I160" t="s">
        <v>46</v>
      </c>
    </row>
    <row r="161" spans="1:9" x14ac:dyDescent="0.25">
      <c r="A161" s="2">
        <v>45383</v>
      </c>
      <c r="B161">
        <v>22</v>
      </c>
      <c r="C161">
        <v>13</v>
      </c>
      <c r="D161">
        <v>302.49</v>
      </c>
      <c r="E161">
        <v>2</v>
      </c>
      <c r="F161">
        <v>1591.45</v>
      </c>
      <c r="G161" t="s">
        <v>29</v>
      </c>
      <c r="H161" t="s">
        <v>40</v>
      </c>
      <c r="I161" t="s">
        <v>45</v>
      </c>
    </row>
    <row r="162" spans="1:9" x14ac:dyDescent="0.25">
      <c r="A162" s="2">
        <v>45383</v>
      </c>
      <c r="B162">
        <v>77</v>
      </c>
      <c r="C162">
        <v>8</v>
      </c>
      <c r="D162">
        <v>173.88</v>
      </c>
      <c r="E162">
        <v>6</v>
      </c>
      <c r="F162">
        <v>462.44</v>
      </c>
      <c r="G162" t="s">
        <v>31</v>
      </c>
      <c r="H162" t="s">
        <v>35</v>
      </c>
      <c r="I162" t="s">
        <v>46</v>
      </c>
    </row>
    <row r="163" spans="1:9" x14ac:dyDescent="0.25">
      <c r="A163" s="2">
        <v>45383</v>
      </c>
      <c r="B163">
        <v>90</v>
      </c>
      <c r="C163">
        <v>17</v>
      </c>
      <c r="D163">
        <v>366.84</v>
      </c>
      <c r="E163">
        <v>0</v>
      </c>
      <c r="F163">
        <v>3153.56</v>
      </c>
      <c r="G163" t="s">
        <v>32</v>
      </c>
      <c r="H163" t="s">
        <v>38</v>
      </c>
      <c r="I163" t="s">
        <v>46</v>
      </c>
    </row>
    <row r="164" spans="1:9" x14ac:dyDescent="0.25">
      <c r="A164" s="2">
        <v>45383</v>
      </c>
      <c r="B164">
        <v>33</v>
      </c>
      <c r="C164">
        <v>9</v>
      </c>
      <c r="D164">
        <v>578.41999999999996</v>
      </c>
      <c r="E164">
        <v>4</v>
      </c>
      <c r="F164">
        <v>229.72</v>
      </c>
      <c r="G164" t="s">
        <v>33</v>
      </c>
      <c r="H164" t="s">
        <v>37</v>
      </c>
      <c r="I164" t="s">
        <v>45</v>
      </c>
    </row>
    <row r="165" spans="1:9" x14ac:dyDescent="0.25">
      <c r="A165" s="2">
        <v>45383</v>
      </c>
      <c r="B165">
        <v>42</v>
      </c>
      <c r="C165">
        <v>14</v>
      </c>
      <c r="D165">
        <v>321.29000000000002</v>
      </c>
      <c r="E165">
        <v>7</v>
      </c>
      <c r="F165">
        <v>4298.2700000000004</v>
      </c>
      <c r="G165" t="s">
        <v>34</v>
      </c>
      <c r="H165" t="s">
        <v>42</v>
      </c>
      <c r="I165" t="s">
        <v>45</v>
      </c>
    </row>
    <row r="166" spans="1:9" x14ac:dyDescent="0.25">
      <c r="A166" s="2">
        <v>45383</v>
      </c>
      <c r="B166">
        <v>100</v>
      </c>
      <c r="C166">
        <v>7</v>
      </c>
      <c r="D166">
        <v>82.62</v>
      </c>
      <c r="E166">
        <v>6</v>
      </c>
      <c r="F166">
        <v>4085.91</v>
      </c>
      <c r="G166" t="s">
        <v>25</v>
      </c>
      <c r="H166" t="s">
        <v>36</v>
      </c>
      <c r="I166" t="s">
        <v>46</v>
      </c>
    </row>
    <row r="167" spans="1:9" x14ac:dyDescent="0.25">
      <c r="A167" s="2">
        <v>45383</v>
      </c>
      <c r="B167">
        <v>69</v>
      </c>
      <c r="C167">
        <v>9</v>
      </c>
      <c r="D167">
        <v>221.01</v>
      </c>
      <c r="E167">
        <v>3</v>
      </c>
      <c r="F167">
        <v>643.44000000000005</v>
      </c>
      <c r="G167" t="s">
        <v>23</v>
      </c>
      <c r="H167" t="s">
        <v>41</v>
      </c>
      <c r="I167" t="s">
        <v>46</v>
      </c>
    </row>
    <row r="168" spans="1:9" x14ac:dyDescent="0.25">
      <c r="A168" s="2">
        <v>45384</v>
      </c>
      <c r="B168">
        <v>99</v>
      </c>
      <c r="C168">
        <v>36</v>
      </c>
      <c r="D168">
        <v>424.60515105803182</v>
      </c>
      <c r="E168">
        <v>32</v>
      </c>
      <c r="F168">
        <v>3156.3272413166351</v>
      </c>
      <c r="G168" t="s">
        <v>34</v>
      </c>
      <c r="H168" t="s">
        <v>42</v>
      </c>
      <c r="I168" t="s">
        <v>45</v>
      </c>
    </row>
    <row r="169" spans="1:9" x14ac:dyDescent="0.25">
      <c r="A169" s="2">
        <v>45385</v>
      </c>
      <c r="B169">
        <v>89</v>
      </c>
      <c r="C169">
        <v>36</v>
      </c>
      <c r="D169">
        <v>473.02243963271172</v>
      </c>
      <c r="E169">
        <v>5</v>
      </c>
      <c r="F169">
        <v>1706.2863837029431</v>
      </c>
      <c r="G169" t="s">
        <v>9</v>
      </c>
      <c r="H169" t="s">
        <v>42</v>
      </c>
      <c r="I169" t="s">
        <v>45</v>
      </c>
    </row>
    <row r="170" spans="1:9" x14ac:dyDescent="0.25">
      <c r="A170" s="2">
        <v>45386</v>
      </c>
      <c r="B170">
        <v>53</v>
      </c>
      <c r="C170">
        <v>30</v>
      </c>
      <c r="D170">
        <v>391.68438254857978</v>
      </c>
      <c r="E170">
        <v>9</v>
      </c>
      <c r="F170">
        <v>3308.6700853211032</v>
      </c>
      <c r="G170" t="s">
        <v>48</v>
      </c>
      <c r="H170" t="s">
        <v>35</v>
      </c>
      <c r="I170" t="s">
        <v>46</v>
      </c>
    </row>
    <row r="171" spans="1:9" x14ac:dyDescent="0.25">
      <c r="A171" s="2">
        <v>45387</v>
      </c>
      <c r="B171">
        <v>51</v>
      </c>
      <c r="C171">
        <v>39</v>
      </c>
      <c r="D171">
        <v>581.08627423727103</v>
      </c>
      <c r="E171">
        <v>4</v>
      </c>
      <c r="F171">
        <v>2342.352434860582</v>
      </c>
      <c r="G171" t="s">
        <v>10</v>
      </c>
      <c r="H171" t="s">
        <v>35</v>
      </c>
      <c r="I171" t="s">
        <v>46</v>
      </c>
    </row>
    <row r="172" spans="1:9" x14ac:dyDescent="0.25">
      <c r="A172" s="2">
        <v>45390</v>
      </c>
      <c r="B172">
        <v>55</v>
      </c>
      <c r="C172">
        <v>37</v>
      </c>
      <c r="D172">
        <v>287.435289761852</v>
      </c>
      <c r="E172">
        <v>22</v>
      </c>
      <c r="F172">
        <v>2984.2123138339111</v>
      </c>
      <c r="G172" t="s">
        <v>9</v>
      </c>
      <c r="H172" t="s">
        <v>37</v>
      </c>
      <c r="I172" t="s">
        <v>46</v>
      </c>
    </row>
    <row r="173" spans="1:9" x14ac:dyDescent="0.25">
      <c r="A173" s="2">
        <v>45391</v>
      </c>
      <c r="B173">
        <v>91</v>
      </c>
      <c r="C173">
        <v>73</v>
      </c>
      <c r="D173">
        <v>242.85604314093041</v>
      </c>
      <c r="E173">
        <v>9</v>
      </c>
      <c r="F173">
        <v>2462.569381108925</v>
      </c>
      <c r="G173" t="s">
        <v>48</v>
      </c>
      <c r="H173" t="s">
        <v>40</v>
      </c>
      <c r="I173" t="s">
        <v>46</v>
      </c>
    </row>
    <row r="174" spans="1:9" x14ac:dyDescent="0.25">
      <c r="A174" s="2">
        <v>45392</v>
      </c>
      <c r="B174">
        <v>53</v>
      </c>
      <c r="C174">
        <v>78</v>
      </c>
      <c r="D174">
        <v>534.29956409473016</v>
      </c>
      <c r="E174">
        <v>1</v>
      </c>
      <c r="F174">
        <v>1825.09591793863</v>
      </c>
      <c r="G174" t="s">
        <v>9</v>
      </c>
      <c r="H174" t="s">
        <v>40</v>
      </c>
      <c r="I174" t="s">
        <v>45</v>
      </c>
    </row>
    <row r="175" spans="1:9" x14ac:dyDescent="0.25">
      <c r="A175" s="2">
        <v>45393</v>
      </c>
      <c r="B175">
        <v>78</v>
      </c>
      <c r="C175">
        <v>70</v>
      </c>
      <c r="D175">
        <v>211.79791925972631</v>
      </c>
      <c r="E175">
        <v>12</v>
      </c>
      <c r="F175">
        <v>4768.0398813297052</v>
      </c>
      <c r="G175" t="s">
        <v>9</v>
      </c>
      <c r="H175" t="s">
        <v>43</v>
      </c>
      <c r="I175" t="s">
        <v>45</v>
      </c>
    </row>
    <row r="176" spans="1:9" x14ac:dyDescent="0.25">
      <c r="A176" s="2">
        <v>45394</v>
      </c>
      <c r="B176">
        <v>67</v>
      </c>
      <c r="C176">
        <v>57</v>
      </c>
      <c r="D176">
        <v>581.6112697203057</v>
      </c>
      <c r="E176">
        <v>39</v>
      </c>
      <c r="F176">
        <v>3936.226073718924</v>
      </c>
      <c r="G176" t="s">
        <v>47</v>
      </c>
      <c r="H176" t="s">
        <v>40</v>
      </c>
      <c r="I176" t="s">
        <v>45</v>
      </c>
    </row>
    <row r="177" spans="1:9" x14ac:dyDescent="0.25">
      <c r="A177" s="2">
        <v>45397</v>
      </c>
      <c r="B177">
        <v>75</v>
      </c>
      <c r="C177">
        <v>28</v>
      </c>
      <c r="D177">
        <v>106.0772373449082</v>
      </c>
      <c r="E177">
        <v>1</v>
      </c>
      <c r="F177">
        <v>1130.5092909490361</v>
      </c>
      <c r="G177" t="s">
        <v>49</v>
      </c>
      <c r="H177" t="s">
        <v>35</v>
      </c>
      <c r="I177" t="s">
        <v>45</v>
      </c>
    </row>
    <row r="178" spans="1:9" x14ac:dyDescent="0.25">
      <c r="A178" s="2">
        <v>45398</v>
      </c>
      <c r="B178">
        <v>93</v>
      </c>
      <c r="C178">
        <v>13</v>
      </c>
      <c r="D178">
        <v>584.93941335381953</v>
      </c>
      <c r="E178">
        <v>19</v>
      </c>
      <c r="F178">
        <v>4408.1058915406074</v>
      </c>
      <c r="G178" t="s">
        <v>10</v>
      </c>
      <c r="H178" t="s">
        <v>36</v>
      </c>
      <c r="I178" t="s">
        <v>45</v>
      </c>
    </row>
    <row r="179" spans="1:9" x14ac:dyDescent="0.25">
      <c r="A179" s="2">
        <v>45399</v>
      </c>
      <c r="B179">
        <v>83</v>
      </c>
      <c r="C179">
        <v>44</v>
      </c>
      <c r="D179">
        <v>121.5799559752881</v>
      </c>
      <c r="E179">
        <v>0</v>
      </c>
      <c r="F179">
        <v>2693.4403921228109</v>
      </c>
      <c r="G179" t="s">
        <v>9</v>
      </c>
      <c r="H179" t="s">
        <v>40</v>
      </c>
      <c r="I179" t="s">
        <v>46</v>
      </c>
    </row>
    <row r="180" spans="1:9" x14ac:dyDescent="0.25">
      <c r="A180" s="2">
        <v>45400</v>
      </c>
      <c r="B180">
        <v>59</v>
      </c>
      <c r="C180">
        <v>73</v>
      </c>
      <c r="D180">
        <v>545.57155684903546</v>
      </c>
      <c r="E180">
        <v>36</v>
      </c>
      <c r="F180">
        <v>4525.4850210234108</v>
      </c>
      <c r="G180" t="s">
        <v>10</v>
      </c>
      <c r="H180" t="s">
        <v>35</v>
      </c>
      <c r="I180" t="s">
        <v>45</v>
      </c>
    </row>
    <row r="181" spans="1:9" x14ac:dyDescent="0.25">
      <c r="A181" s="2">
        <v>45401</v>
      </c>
      <c r="B181">
        <v>85</v>
      </c>
      <c r="C181">
        <v>58</v>
      </c>
      <c r="D181">
        <v>363.85055454314988</v>
      </c>
      <c r="E181">
        <v>8</v>
      </c>
      <c r="F181">
        <v>4099.348651762919</v>
      </c>
      <c r="G181" t="s">
        <v>34</v>
      </c>
      <c r="H181" t="s">
        <v>37</v>
      </c>
      <c r="I181" t="s">
        <v>46</v>
      </c>
    </row>
    <row r="182" spans="1:9" x14ac:dyDescent="0.25">
      <c r="A182" s="2">
        <v>45404</v>
      </c>
      <c r="B182">
        <v>63</v>
      </c>
      <c r="C182">
        <v>26</v>
      </c>
      <c r="D182">
        <v>596.48239805965022</v>
      </c>
      <c r="E182">
        <v>16</v>
      </c>
      <c r="F182">
        <v>2413.460770111551</v>
      </c>
      <c r="G182" t="s">
        <v>9</v>
      </c>
      <c r="H182" t="s">
        <v>42</v>
      </c>
      <c r="I182" t="s">
        <v>46</v>
      </c>
    </row>
    <row r="183" spans="1:9" x14ac:dyDescent="0.25">
      <c r="A183" s="2">
        <v>45405</v>
      </c>
      <c r="B183">
        <v>80</v>
      </c>
      <c r="C183">
        <v>53</v>
      </c>
      <c r="D183">
        <v>136.89828236769941</v>
      </c>
      <c r="E183">
        <v>8</v>
      </c>
      <c r="F183">
        <v>601.11188744052833</v>
      </c>
      <c r="G183" t="s">
        <v>18</v>
      </c>
      <c r="H183" t="s">
        <v>40</v>
      </c>
      <c r="I183" t="s">
        <v>46</v>
      </c>
    </row>
    <row r="184" spans="1:9" x14ac:dyDescent="0.25">
      <c r="A184" s="2">
        <v>45406</v>
      </c>
      <c r="B184">
        <v>97</v>
      </c>
      <c r="C184">
        <v>39</v>
      </c>
      <c r="D184">
        <v>376.9271422006604</v>
      </c>
      <c r="E184">
        <v>10</v>
      </c>
      <c r="F184">
        <v>1709.048117232257</v>
      </c>
      <c r="G184" t="s">
        <v>49</v>
      </c>
      <c r="H184" t="s">
        <v>37</v>
      </c>
      <c r="I184" t="s">
        <v>46</v>
      </c>
    </row>
    <row r="185" spans="1:9" x14ac:dyDescent="0.25">
      <c r="A185" s="2">
        <v>45407</v>
      </c>
      <c r="B185">
        <v>64</v>
      </c>
      <c r="C185">
        <v>55</v>
      </c>
      <c r="D185">
        <v>584.65126780954949</v>
      </c>
      <c r="E185">
        <v>14</v>
      </c>
      <c r="F185">
        <v>2937.3539659739008</v>
      </c>
      <c r="G185" t="s">
        <v>18</v>
      </c>
      <c r="H185" t="s">
        <v>42</v>
      </c>
      <c r="I185" t="s">
        <v>45</v>
      </c>
    </row>
    <row r="186" spans="1:9" x14ac:dyDescent="0.25">
      <c r="A186" s="2">
        <v>45408</v>
      </c>
      <c r="B186">
        <v>57</v>
      </c>
      <c r="C186">
        <v>15</v>
      </c>
      <c r="D186">
        <v>361.54892208507442</v>
      </c>
      <c r="E186">
        <v>23</v>
      </c>
      <c r="F186">
        <v>3350.651989217663</v>
      </c>
      <c r="G186" t="s">
        <v>10</v>
      </c>
      <c r="H186" t="s">
        <v>38</v>
      </c>
      <c r="I186" t="s">
        <v>46</v>
      </c>
    </row>
    <row r="187" spans="1:9" x14ac:dyDescent="0.25">
      <c r="A187" s="2">
        <v>45411</v>
      </c>
      <c r="B187">
        <v>63</v>
      </c>
      <c r="C187">
        <v>46</v>
      </c>
      <c r="D187">
        <v>414.69931906763128</v>
      </c>
      <c r="E187">
        <v>37</v>
      </c>
      <c r="F187">
        <v>1660.49458444941</v>
      </c>
      <c r="G187" t="s">
        <v>10</v>
      </c>
      <c r="H187" t="s">
        <v>38</v>
      </c>
      <c r="I187" t="s">
        <v>46</v>
      </c>
    </row>
    <row r="188" spans="1:9" x14ac:dyDescent="0.25">
      <c r="A188" s="2">
        <v>45412</v>
      </c>
      <c r="B188">
        <v>72</v>
      </c>
      <c r="C188">
        <v>33</v>
      </c>
      <c r="D188">
        <v>447.87434449230858</v>
      </c>
      <c r="E188">
        <v>34</v>
      </c>
      <c r="F188">
        <v>1127.102333327708</v>
      </c>
      <c r="G188" t="s">
        <v>49</v>
      </c>
      <c r="H188" t="s">
        <v>42</v>
      </c>
      <c r="I188" t="s">
        <v>46</v>
      </c>
    </row>
    <row r="189" spans="1:9" x14ac:dyDescent="0.25">
      <c r="A189" s="2">
        <v>45413</v>
      </c>
      <c r="B189">
        <v>97</v>
      </c>
      <c r="C189">
        <v>5</v>
      </c>
      <c r="D189">
        <v>185.62</v>
      </c>
      <c r="E189">
        <v>4</v>
      </c>
      <c r="F189">
        <v>1282.81</v>
      </c>
      <c r="G189" t="s">
        <v>24</v>
      </c>
      <c r="H189" t="s">
        <v>36</v>
      </c>
      <c r="I189" t="s">
        <v>46</v>
      </c>
    </row>
    <row r="190" spans="1:9" x14ac:dyDescent="0.25">
      <c r="A190" s="2">
        <v>45413</v>
      </c>
      <c r="B190">
        <v>111</v>
      </c>
      <c r="C190">
        <v>13</v>
      </c>
      <c r="D190">
        <v>358.31</v>
      </c>
      <c r="E190">
        <v>0</v>
      </c>
      <c r="F190">
        <v>2811.77</v>
      </c>
      <c r="G190" t="s">
        <v>32</v>
      </c>
      <c r="H190" t="s">
        <v>37</v>
      </c>
      <c r="I190" t="s">
        <v>45</v>
      </c>
    </row>
    <row r="191" spans="1:9" x14ac:dyDescent="0.25">
      <c r="A191" s="2">
        <v>45413</v>
      </c>
      <c r="B191">
        <v>73</v>
      </c>
      <c r="C191">
        <v>8</v>
      </c>
      <c r="D191">
        <v>175.52</v>
      </c>
      <c r="E191">
        <v>7</v>
      </c>
      <c r="F191">
        <v>455.32</v>
      </c>
      <c r="G191" t="s">
        <v>31</v>
      </c>
      <c r="H191" t="s">
        <v>44</v>
      </c>
      <c r="I191" t="s">
        <v>45</v>
      </c>
    </row>
    <row r="192" spans="1:9" x14ac:dyDescent="0.25">
      <c r="A192" s="2">
        <v>45413</v>
      </c>
      <c r="B192">
        <v>105</v>
      </c>
      <c r="C192">
        <v>6</v>
      </c>
      <c r="D192">
        <v>567.03</v>
      </c>
      <c r="E192">
        <v>1</v>
      </c>
      <c r="F192">
        <v>3496.65</v>
      </c>
      <c r="G192" t="s">
        <v>30</v>
      </c>
      <c r="H192" t="s">
        <v>39</v>
      </c>
      <c r="I192" t="s">
        <v>45</v>
      </c>
    </row>
    <row r="193" spans="1:9" x14ac:dyDescent="0.25">
      <c r="A193" s="2">
        <v>45413</v>
      </c>
      <c r="B193">
        <v>19</v>
      </c>
      <c r="C193">
        <v>13</v>
      </c>
      <c r="D193">
        <v>316.23</v>
      </c>
      <c r="E193">
        <v>1</v>
      </c>
      <c r="F193">
        <v>1598.49</v>
      </c>
      <c r="G193" t="s">
        <v>29</v>
      </c>
      <c r="H193" t="s">
        <v>35</v>
      </c>
      <c r="I193" t="s">
        <v>45</v>
      </c>
    </row>
    <row r="194" spans="1:9" x14ac:dyDescent="0.25">
      <c r="A194" s="2">
        <v>45413</v>
      </c>
      <c r="B194">
        <v>91</v>
      </c>
      <c r="C194">
        <v>15</v>
      </c>
      <c r="D194">
        <v>173.03</v>
      </c>
      <c r="E194">
        <v>4</v>
      </c>
      <c r="F194">
        <v>386.08</v>
      </c>
      <c r="G194" t="s">
        <v>27</v>
      </c>
      <c r="H194" t="s">
        <v>44</v>
      </c>
      <c r="I194" t="s">
        <v>46</v>
      </c>
    </row>
    <row r="195" spans="1:9" x14ac:dyDescent="0.25">
      <c r="A195" s="2">
        <v>45413</v>
      </c>
      <c r="B195">
        <v>21</v>
      </c>
      <c r="C195">
        <v>14</v>
      </c>
      <c r="D195">
        <v>472.79</v>
      </c>
      <c r="E195">
        <v>8</v>
      </c>
      <c r="F195">
        <v>3830.32</v>
      </c>
      <c r="G195" t="s">
        <v>26</v>
      </c>
      <c r="H195" t="s">
        <v>36</v>
      </c>
      <c r="I195" t="s">
        <v>46</v>
      </c>
    </row>
    <row r="196" spans="1:9" x14ac:dyDescent="0.25">
      <c r="A196" s="2">
        <v>45413</v>
      </c>
      <c r="B196">
        <v>91</v>
      </c>
      <c r="C196">
        <v>7</v>
      </c>
      <c r="D196">
        <v>89.39</v>
      </c>
      <c r="E196">
        <v>6</v>
      </c>
      <c r="F196">
        <v>3971.59</v>
      </c>
      <c r="G196" t="s">
        <v>25</v>
      </c>
      <c r="H196" t="s">
        <v>44</v>
      </c>
      <c r="I196" t="s">
        <v>45</v>
      </c>
    </row>
    <row r="197" spans="1:9" x14ac:dyDescent="0.25">
      <c r="A197" s="2">
        <v>45413</v>
      </c>
      <c r="B197">
        <v>33</v>
      </c>
      <c r="C197">
        <v>17</v>
      </c>
      <c r="D197">
        <v>371.65</v>
      </c>
      <c r="E197">
        <v>9</v>
      </c>
      <c r="F197">
        <v>4068.75</v>
      </c>
      <c r="G197" t="s">
        <v>34</v>
      </c>
      <c r="H197" t="s">
        <v>40</v>
      </c>
      <c r="I197" t="s">
        <v>45</v>
      </c>
    </row>
    <row r="198" spans="1:9" x14ac:dyDescent="0.25">
      <c r="A198" s="2">
        <v>45413</v>
      </c>
      <c r="B198">
        <v>38</v>
      </c>
      <c r="C198">
        <v>12</v>
      </c>
      <c r="D198">
        <v>556.33000000000004</v>
      </c>
      <c r="E198">
        <v>4</v>
      </c>
      <c r="F198">
        <v>241.08</v>
      </c>
      <c r="G198" t="s">
        <v>33</v>
      </c>
      <c r="H198" t="s">
        <v>40</v>
      </c>
      <c r="I198" t="s">
        <v>45</v>
      </c>
    </row>
    <row r="199" spans="1:9" x14ac:dyDescent="0.25">
      <c r="A199" s="2">
        <v>45413</v>
      </c>
      <c r="B199">
        <v>50</v>
      </c>
      <c r="C199">
        <v>7</v>
      </c>
      <c r="D199">
        <v>196.2</v>
      </c>
      <c r="E199">
        <v>2</v>
      </c>
      <c r="F199">
        <v>592.71</v>
      </c>
      <c r="G199" t="s">
        <v>23</v>
      </c>
      <c r="H199" t="s">
        <v>36</v>
      </c>
      <c r="I199" t="s">
        <v>45</v>
      </c>
    </row>
    <row r="200" spans="1:9" x14ac:dyDescent="0.25">
      <c r="A200" s="2">
        <v>45413</v>
      </c>
      <c r="B200">
        <v>74</v>
      </c>
      <c r="C200">
        <v>20</v>
      </c>
      <c r="D200">
        <v>623.33000000000004</v>
      </c>
      <c r="E200">
        <v>2</v>
      </c>
      <c r="F200">
        <v>359.97</v>
      </c>
      <c r="G200" t="s">
        <v>21</v>
      </c>
      <c r="H200" t="s">
        <v>38</v>
      </c>
      <c r="I200" t="s">
        <v>45</v>
      </c>
    </row>
    <row r="201" spans="1:9" x14ac:dyDescent="0.25">
      <c r="A201" s="2">
        <v>45413</v>
      </c>
      <c r="B201">
        <v>26</v>
      </c>
      <c r="C201">
        <v>7</v>
      </c>
      <c r="D201">
        <v>200.45</v>
      </c>
      <c r="E201">
        <v>1</v>
      </c>
      <c r="F201">
        <v>3797.35</v>
      </c>
      <c r="G201" t="s">
        <v>22</v>
      </c>
      <c r="H201" t="s">
        <v>42</v>
      </c>
      <c r="I201" t="s">
        <v>45</v>
      </c>
    </row>
    <row r="202" spans="1:9" x14ac:dyDescent="0.25">
      <c r="A202" s="2">
        <v>45413</v>
      </c>
      <c r="B202">
        <v>68</v>
      </c>
      <c r="C202">
        <v>11</v>
      </c>
      <c r="D202">
        <v>345.62</v>
      </c>
      <c r="E202">
        <v>4</v>
      </c>
      <c r="F202">
        <v>3558.13</v>
      </c>
      <c r="G202" t="s">
        <v>10</v>
      </c>
      <c r="H202" t="s">
        <v>35</v>
      </c>
      <c r="I202" t="s">
        <v>45</v>
      </c>
    </row>
    <row r="203" spans="1:9" x14ac:dyDescent="0.25">
      <c r="A203" s="2">
        <v>45413</v>
      </c>
      <c r="B203">
        <v>45</v>
      </c>
      <c r="C203">
        <v>17</v>
      </c>
      <c r="D203">
        <v>416.96</v>
      </c>
      <c r="E203">
        <v>3</v>
      </c>
      <c r="F203">
        <v>3327.07</v>
      </c>
      <c r="G203" t="s">
        <v>11</v>
      </c>
      <c r="H203" t="s">
        <v>37</v>
      </c>
      <c r="I203" t="s">
        <v>45</v>
      </c>
    </row>
    <row r="204" spans="1:9" x14ac:dyDescent="0.25">
      <c r="A204" s="2">
        <v>45413</v>
      </c>
      <c r="B204">
        <v>17</v>
      </c>
      <c r="C204">
        <v>8</v>
      </c>
      <c r="D204">
        <v>72.05</v>
      </c>
      <c r="E204">
        <v>3</v>
      </c>
      <c r="F204">
        <v>1672.82</v>
      </c>
      <c r="G204" t="s">
        <v>12</v>
      </c>
      <c r="H204" t="s">
        <v>43</v>
      </c>
      <c r="I204" t="s">
        <v>45</v>
      </c>
    </row>
    <row r="205" spans="1:9" x14ac:dyDescent="0.25">
      <c r="A205" s="2">
        <v>45413</v>
      </c>
      <c r="B205">
        <v>85</v>
      </c>
      <c r="C205">
        <v>13</v>
      </c>
      <c r="D205">
        <v>475.61</v>
      </c>
      <c r="E205">
        <v>5</v>
      </c>
      <c r="F205">
        <v>939.32</v>
      </c>
      <c r="G205" t="s">
        <v>13</v>
      </c>
      <c r="H205" t="s">
        <v>44</v>
      </c>
      <c r="I205" t="s">
        <v>45</v>
      </c>
    </row>
    <row r="206" spans="1:9" x14ac:dyDescent="0.25">
      <c r="A206" s="2">
        <v>45413</v>
      </c>
      <c r="B206">
        <v>49</v>
      </c>
      <c r="C206">
        <v>7</v>
      </c>
      <c r="D206">
        <v>469.53</v>
      </c>
      <c r="E206">
        <v>3</v>
      </c>
      <c r="F206">
        <v>3623.32</v>
      </c>
      <c r="G206" t="s">
        <v>14</v>
      </c>
      <c r="H206" t="s">
        <v>39</v>
      </c>
      <c r="I206" t="s">
        <v>45</v>
      </c>
    </row>
    <row r="207" spans="1:9" x14ac:dyDescent="0.25">
      <c r="A207" s="2">
        <v>45413</v>
      </c>
      <c r="B207">
        <v>69</v>
      </c>
      <c r="C207">
        <v>16</v>
      </c>
      <c r="D207">
        <v>299.22000000000003</v>
      </c>
      <c r="E207">
        <v>6</v>
      </c>
      <c r="F207">
        <v>3716.14</v>
      </c>
      <c r="G207" t="s">
        <v>9</v>
      </c>
      <c r="H207" t="s">
        <v>35</v>
      </c>
      <c r="I207" t="s">
        <v>45</v>
      </c>
    </row>
    <row r="208" spans="1:9" x14ac:dyDescent="0.25">
      <c r="A208" s="2">
        <v>45413</v>
      </c>
      <c r="B208">
        <v>63</v>
      </c>
      <c r="C208">
        <v>9</v>
      </c>
      <c r="D208">
        <v>258.11</v>
      </c>
      <c r="E208">
        <v>7</v>
      </c>
      <c r="F208">
        <v>4064.36</v>
      </c>
      <c r="G208" t="s">
        <v>16</v>
      </c>
      <c r="H208" t="s">
        <v>42</v>
      </c>
      <c r="I208" t="s">
        <v>45</v>
      </c>
    </row>
    <row r="209" spans="1:9" x14ac:dyDescent="0.25">
      <c r="A209" s="2">
        <v>45413</v>
      </c>
      <c r="B209">
        <v>66</v>
      </c>
      <c r="C209">
        <v>15</v>
      </c>
      <c r="D209">
        <v>333.1</v>
      </c>
      <c r="E209">
        <v>2</v>
      </c>
      <c r="F209">
        <v>2631.58</v>
      </c>
      <c r="G209" t="s">
        <v>15</v>
      </c>
      <c r="H209" t="s">
        <v>40</v>
      </c>
      <c r="I209" t="s">
        <v>45</v>
      </c>
    </row>
    <row r="210" spans="1:9" x14ac:dyDescent="0.25">
      <c r="A210" s="2">
        <v>45413</v>
      </c>
      <c r="B210">
        <v>35</v>
      </c>
      <c r="C210">
        <v>6</v>
      </c>
      <c r="D210">
        <v>553.11</v>
      </c>
      <c r="E210">
        <v>4</v>
      </c>
      <c r="F210">
        <v>3867.67</v>
      </c>
      <c r="G210" t="s">
        <v>20</v>
      </c>
      <c r="H210" t="s">
        <v>39</v>
      </c>
      <c r="I210" t="s">
        <v>46</v>
      </c>
    </row>
    <row r="211" spans="1:9" x14ac:dyDescent="0.25">
      <c r="A211" s="2">
        <v>45413</v>
      </c>
      <c r="B211">
        <v>67</v>
      </c>
      <c r="C211">
        <v>15</v>
      </c>
      <c r="D211">
        <v>499.68</v>
      </c>
      <c r="E211">
        <v>0</v>
      </c>
      <c r="F211">
        <v>1287.1300000000001</v>
      </c>
      <c r="G211" t="s">
        <v>28</v>
      </c>
      <c r="H211" t="s">
        <v>40</v>
      </c>
      <c r="I211" t="s">
        <v>45</v>
      </c>
    </row>
    <row r="212" spans="1:9" x14ac:dyDescent="0.25">
      <c r="A212" s="2">
        <v>45413</v>
      </c>
      <c r="B212">
        <v>75</v>
      </c>
      <c r="C212">
        <v>19</v>
      </c>
      <c r="D212">
        <v>343.28</v>
      </c>
      <c r="E212">
        <v>9</v>
      </c>
      <c r="F212">
        <v>899.46</v>
      </c>
      <c r="G212" t="s">
        <v>18</v>
      </c>
      <c r="H212" t="s">
        <v>37</v>
      </c>
      <c r="I212" t="s">
        <v>46</v>
      </c>
    </row>
    <row r="213" spans="1:9" x14ac:dyDescent="0.25">
      <c r="A213" s="2">
        <v>45413</v>
      </c>
      <c r="B213">
        <v>31</v>
      </c>
      <c r="C213">
        <v>20</v>
      </c>
      <c r="D213">
        <v>400.8</v>
      </c>
      <c r="E213">
        <v>8</v>
      </c>
      <c r="F213">
        <v>1294.3599999999999</v>
      </c>
      <c r="G213" t="s">
        <v>17</v>
      </c>
      <c r="H213" t="s">
        <v>43</v>
      </c>
      <c r="I213" t="s">
        <v>45</v>
      </c>
    </row>
    <row r="214" spans="1:9" x14ac:dyDescent="0.25">
      <c r="A214" s="2">
        <v>45413</v>
      </c>
      <c r="B214">
        <v>18</v>
      </c>
      <c r="C214">
        <v>7</v>
      </c>
      <c r="D214">
        <v>204.63</v>
      </c>
      <c r="E214">
        <v>7</v>
      </c>
      <c r="F214">
        <v>789.77</v>
      </c>
      <c r="G214" t="s">
        <v>19</v>
      </c>
      <c r="H214" t="s">
        <v>36</v>
      </c>
      <c r="I214" t="s">
        <v>45</v>
      </c>
    </row>
    <row r="215" spans="1:9" x14ac:dyDescent="0.25">
      <c r="A215" s="2">
        <v>45414</v>
      </c>
      <c r="B215">
        <v>89</v>
      </c>
      <c r="C215">
        <v>55</v>
      </c>
      <c r="D215">
        <v>327.27053238388658</v>
      </c>
      <c r="E215">
        <v>29</v>
      </c>
      <c r="F215">
        <v>4257.1860655968467</v>
      </c>
      <c r="G215" t="s">
        <v>10</v>
      </c>
      <c r="H215" t="s">
        <v>40</v>
      </c>
      <c r="I215" t="s">
        <v>45</v>
      </c>
    </row>
    <row r="216" spans="1:9" x14ac:dyDescent="0.25">
      <c r="A216" s="2">
        <v>45415</v>
      </c>
      <c r="B216">
        <v>70</v>
      </c>
      <c r="C216">
        <v>62</v>
      </c>
      <c r="D216">
        <v>413.77904004203168</v>
      </c>
      <c r="E216">
        <v>30</v>
      </c>
      <c r="F216">
        <v>4929.8098131659845</v>
      </c>
      <c r="G216" t="s">
        <v>18</v>
      </c>
      <c r="H216" t="s">
        <v>43</v>
      </c>
      <c r="I216" t="s">
        <v>45</v>
      </c>
    </row>
    <row r="217" spans="1:9" x14ac:dyDescent="0.25">
      <c r="A217" s="2">
        <v>45418</v>
      </c>
      <c r="B217">
        <v>65</v>
      </c>
      <c r="C217">
        <v>69</v>
      </c>
      <c r="D217">
        <v>392.15715596155007</v>
      </c>
      <c r="E217">
        <v>4</v>
      </c>
      <c r="F217">
        <v>2865.605820362086</v>
      </c>
      <c r="G217" t="s">
        <v>9</v>
      </c>
      <c r="H217" t="s">
        <v>35</v>
      </c>
      <c r="I217" t="s">
        <v>45</v>
      </c>
    </row>
    <row r="218" spans="1:9" x14ac:dyDescent="0.25">
      <c r="A218" s="2">
        <v>45419</v>
      </c>
      <c r="B218">
        <v>94</v>
      </c>
      <c r="C218">
        <v>72</v>
      </c>
      <c r="D218">
        <v>550.5790052454945</v>
      </c>
      <c r="E218">
        <v>13</v>
      </c>
      <c r="F218">
        <v>1272.556786317366</v>
      </c>
      <c r="G218" t="s">
        <v>9</v>
      </c>
      <c r="H218" t="s">
        <v>36</v>
      </c>
      <c r="I218" t="s">
        <v>46</v>
      </c>
    </row>
    <row r="219" spans="1:9" x14ac:dyDescent="0.25">
      <c r="A219" s="2">
        <v>45420</v>
      </c>
      <c r="B219">
        <v>67</v>
      </c>
      <c r="C219">
        <v>41</v>
      </c>
      <c r="D219">
        <v>122.7231901707289</v>
      </c>
      <c r="E219">
        <v>10</v>
      </c>
      <c r="F219">
        <v>1725.3829693371599</v>
      </c>
      <c r="G219" t="s">
        <v>47</v>
      </c>
      <c r="H219" t="s">
        <v>36</v>
      </c>
      <c r="I219" t="s">
        <v>46</v>
      </c>
    </row>
    <row r="220" spans="1:9" x14ac:dyDescent="0.25">
      <c r="A220" s="2">
        <v>45421</v>
      </c>
      <c r="B220">
        <v>96</v>
      </c>
      <c r="C220">
        <v>42</v>
      </c>
      <c r="D220">
        <v>240.48159479611519</v>
      </c>
      <c r="E220">
        <v>8</v>
      </c>
      <c r="F220">
        <v>582.7580444636003</v>
      </c>
      <c r="G220" t="s">
        <v>34</v>
      </c>
      <c r="H220" t="s">
        <v>44</v>
      </c>
      <c r="I220" t="s">
        <v>45</v>
      </c>
    </row>
    <row r="221" spans="1:9" x14ac:dyDescent="0.25">
      <c r="A221" s="2">
        <v>45422</v>
      </c>
      <c r="B221">
        <v>73</v>
      </c>
      <c r="C221">
        <v>76</v>
      </c>
      <c r="D221">
        <v>575.20574203827937</v>
      </c>
      <c r="E221">
        <v>33</v>
      </c>
      <c r="F221">
        <v>4614.3446295222457</v>
      </c>
      <c r="G221" t="s">
        <v>10</v>
      </c>
      <c r="H221" t="s">
        <v>42</v>
      </c>
      <c r="I221" t="s">
        <v>46</v>
      </c>
    </row>
    <row r="222" spans="1:9" x14ac:dyDescent="0.25">
      <c r="A222" s="2">
        <v>45425</v>
      </c>
      <c r="B222">
        <v>75</v>
      </c>
      <c r="C222">
        <v>27</v>
      </c>
      <c r="D222">
        <v>545.13189194545816</v>
      </c>
      <c r="E222">
        <v>11</v>
      </c>
      <c r="F222">
        <v>1029.8798730056351</v>
      </c>
      <c r="G222" t="s">
        <v>18</v>
      </c>
      <c r="H222" t="s">
        <v>36</v>
      </c>
      <c r="I222" t="s">
        <v>45</v>
      </c>
    </row>
    <row r="223" spans="1:9" x14ac:dyDescent="0.25">
      <c r="A223" s="2">
        <v>45426</v>
      </c>
      <c r="B223">
        <v>74</v>
      </c>
      <c r="C223">
        <v>34</v>
      </c>
      <c r="D223">
        <v>327.82837639285651</v>
      </c>
      <c r="E223">
        <v>34</v>
      </c>
      <c r="F223">
        <v>3094.3241398141408</v>
      </c>
      <c r="G223" t="s">
        <v>10</v>
      </c>
      <c r="H223" t="s">
        <v>40</v>
      </c>
      <c r="I223" t="s">
        <v>45</v>
      </c>
    </row>
    <row r="224" spans="1:9" x14ac:dyDescent="0.25">
      <c r="A224" s="2">
        <v>45427</v>
      </c>
      <c r="B224">
        <v>94</v>
      </c>
      <c r="C224">
        <v>63</v>
      </c>
      <c r="D224">
        <v>410.06629890076829</v>
      </c>
      <c r="E224">
        <v>34</v>
      </c>
      <c r="F224">
        <v>1733.248493092427</v>
      </c>
      <c r="G224" t="s">
        <v>10</v>
      </c>
      <c r="H224" t="s">
        <v>43</v>
      </c>
      <c r="I224" t="s">
        <v>46</v>
      </c>
    </row>
    <row r="225" spans="1:9" x14ac:dyDescent="0.25">
      <c r="A225" s="2">
        <v>45428</v>
      </c>
      <c r="B225">
        <v>90</v>
      </c>
      <c r="C225">
        <v>67</v>
      </c>
      <c r="D225">
        <v>238.69059149056631</v>
      </c>
      <c r="E225">
        <v>0</v>
      </c>
      <c r="F225">
        <v>2993.8010113210698</v>
      </c>
      <c r="G225" t="s">
        <v>48</v>
      </c>
      <c r="H225" t="s">
        <v>42</v>
      </c>
      <c r="I225" t="s">
        <v>46</v>
      </c>
    </row>
    <row r="226" spans="1:9" x14ac:dyDescent="0.25">
      <c r="A226" s="2">
        <v>45429</v>
      </c>
      <c r="B226">
        <v>78</v>
      </c>
      <c r="C226">
        <v>76</v>
      </c>
      <c r="D226">
        <v>194.06057986188071</v>
      </c>
      <c r="E226">
        <v>39</v>
      </c>
      <c r="F226">
        <v>3431.3917475833891</v>
      </c>
      <c r="G226" t="s">
        <v>47</v>
      </c>
      <c r="H226" t="s">
        <v>43</v>
      </c>
      <c r="I226" t="s">
        <v>46</v>
      </c>
    </row>
    <row r="227" spans="1:9" x14ac:dyDescent="0.25">
      <c r="A227" s="2">
        <v>45432</v>
      </c>
      <c r="B227">
        <v>64</v>
      </c>
      <c r="C227">
        <v>55</v>
      </c>
      <c r="D227">
        <v>331.84920246999098</v>
      </c>
      <c r="E227">
        <v>21</v>
      </c>
      <c r="F227">
        <v>4233.8381166824074</v>
      </c>
      <c r="G227" t="s">
        <v>18</v>
      </c>
      <c r="H227" t="s">
        <v>40</v>
      </c>
      <c r="I227" t="s">
        <v>46</v>
      </c>
    </row>
    <row r="228" spans="1:9" x14ac:dyDescent="0.25">
      <c r="A228" s="2">
        <v>45433</v>
      </c>
      <c r="B228">
        <v>94</v>
      </c>
      <c r="C228">
        <v>33</v>
      </c>
      <c r="D228">
        <v>276.67611401302639</v>
      </c>
      <c r="E228">
        <v>28</v>
      </c>
      <c r="F228">
        <v>1428.895722922714</v>
      </c>
      <c r="G228" t="s">
        <v>18</v>
      </c>
      <c r="H228" t="s">
        <v>36</v>
      </c>
      <c r="I228" t="s">
        <v>45</v>
      </c>
    </row>
    <row r="229" spans="1:9" x14ac:dyDescent="0.25">
      <c r="A229" s="2">
        <v>45434</v>
      </c>
      <c r="B229">
        <v>50</v>
      </c>
      <c r="C229">
        <v>41</v>
      </c>
      <c r="D229">
        <v>391.82805592543599</v>
      </c>
      <c r="E229">
        <v>7</v>
      </c>
      <c r="F229">
        <v>549.48122896316215</v>
      </c>
      <c r="G229" t="s">
        <v>10</v>
      </c>
      <c r="H229" t="s">
        <v>36</v>
      </c>
      <c r="I229" t="s">
        <v>45</v>
      </c>
    </row>
    <row r="230" spans="1:9" x14ac:dyDescent="0.25">
      <c r="A230" s="2">
        <v>45435</v>
      </c>
      <c r="B230">
        <v>74</v>
      </c>
      <c r="C230">
        <v>56</v>
      </c>
      <c r="D230">
        <v>138.86731848249241</v>
      </c>
      <c r="E230">
        <v>10</v>
      </c>
      <c r="F230">
        <v>1115.985335309633</v>
      </c>
      <c r="G230" t="s">
        <v>47</v>
      </c>
      <c r="H230" t="s">
        <v>44</v>
      </c>
      <c r="I230" t="s">
        <v>45</v>
      </c>
    </row>
    <row r="231" spans="1:9" x14ac:dyDescent="0.25">
      <c r="A231" s="2">
        <v>45436</v>
      </c>
      <c r="B231">
        <v>56</v>
      </c>
      <c r="C231">
        <v>32</v>
      </c>
      <c r="D231">
        <v>587.19740383308317</v>
      </c>
      <c r="E231">
        <v>36</v>
      </c>
      <c r="F231">
        <v>4550.0838883164724</v>
      </c>
      <c r="G231" t="s">
        <v>9</v>
      </c>
      <c r="H231" t="s">
        <v>36</v>
      </c>
      <c r="I231" t="s">
        <v>45</v>
      </c>
    </row>
    <row r="232" spans="1:9" x14ac:dyDescent="0.25">
      <c r="A232" s="2">
        <v>45439</v>
      </c>
      <c r="B232">
        <v>58</v>
      </c>
      <c r="C232">
        <v>75</v>
      </c>
      <c r="D232">
        <v>593.10537223980145</v>
      </c>
      <c r="E232">
        <v>13</v>
      </c>
      <c r="F232">
        <v>4432.5053490313176</v>
      </c>
      <c r="G232" t="s">
        <v>18</v>
      </c>
      <c r="H232" t="s">
        <v>42</v>
      </c>
      <c r="I232" t="s">
        <v>45</v>
      </c>
    </row>
    <row r="233" spans="1:9" x14ac:dyDescent="0.25">
      <c r="A233" s="2">
        <v>45440</v>
      </c>
      <c r="B233">
        <v>73</v>
      </c>
      <c r="C233">
        <v>36</v>
      </c>
      <c r="D233">
        <v>449.08085700987249</v>
      </c>
      <c r="E233">
        <v>29</v>
      </c>
      <c r="F233">
        <v>3188.3589597663872</v>
      </c>
      <c r="G233" t="s">
        <v>9</v>
      </c>
      <c r="H233" t="s">
        <v>40</v>
      </c>
      <c r="I233" t="s">
        <v>46</v>
      </c>
    </row>
    <row r="234" spans="1:9" x14ac:dyDescent="0.25">
      <c r="A234" s="2">
        <v>45441</v>
      </c>
      <c r="B234">
        <v>50</v>
      </c>
      <c r="C234">
        <v>11</v>
      </c>
      <c r="D234">
        <v>368.04818317206019</v>
      </c>
      <c r="E234">
        <v>34</v>
      </c>
      <c r="F234">
        <v>3202.3258719514401</v>
      </c>
      <c r="G234" t="s">
        <v>47</v>
      </c>
      <c r="H234" t="s">
        <v>38</v>
      </c>
      <c r="I234" t="s">
        <v>45</v>
      </c>
    </row>
    <row r="235" spans="1:9" x14ac:dyDescent="0.25">
      <c r="A235" s="2">
        <v>45442</v>
      </c>
      <c r="B235">
        <v>93</v>
      </c>
      <c r="C235">
        <v>26</v>
      </c>
      <c r="D235">
        <v>254.76380814316391</v>
      </c>
      <c r="E235">
        <v>20</v>
      </c>
      <c r="F235">
        <v>3492.6650354581502</v>
      </c>
      <c r="G235" t="s">
        <v>9</v>
      </c>
      <c r="H235" t="s">
        <v>40</v>
      </c>
      <c r="I235" t="s">
        <v>45</v>
      </c>
    </row>
    <row r="236" spans="1:9" x14ac:dyDescent="0.25">
      <c r="A236" s="2">
        <v>45443</v>
      </c>
      <c r="B236">
        <v>57</v>
      </c>
      <c r="C236">
        <v>42</v>
      </c>
      <c r="D236">
        <v>506.89750985347428</v>
      </c>
      <c r="E236">
        <v>36</v>
      </c>
      <c r="F236">
        <v>1289.170753805523</v>
      </c>
      <c r="G236" t="s">
        <v>49</v>
      </c>
      <c r="H236" t="s">
        <v>42</v>
      </c>
      <c r="I236" t="s">
        <v>45</v>
      </c>
    </row>
    <row r="237" spans="1:9" x14ac:dyDescent="0.25">
      <c r="A237" s="2">
        <v>45444</v>
      </c>
      <c r="B237">
        <v>85</v>
      </c>
      <c r="C237">
        <v>17</v>
      </c>
      <c r="D237">
        <v>324.56</v>
      </c>
      <c r="E237">
        <v>3</v>
      </c>
      <c r="F237">
        <v>2420.5300000000002</v>
      </c>
      <c r="G237" t="s">
        <v>15</v>
      </c>
      <c r="H237" t="s">
        <v>43</v>
      </c>
      <c r="I237" t="s">
        <v>45</v>
      </c>
    </row>
    <row r="238" spans="1:9" x14ac:dyDescent="0.25">
      <c r="A238" s="2">
        <v>45444</v>
      </c>
      <c r="B238">
        <v>49</v>
      </c>
      <c r="C238">
        <v>7</v>
      </c>
      <c r="D238">
        <v>512.88</v>
      </c>
      <c r="E238">
        <v>2</v>
      </c>
      <c r="F238">
        <v>3545.66</v>
      </c>
      <c r="G238" t="s">
        <v>14</v>
      </c>
      <c r="H238" t="s">
        <v>44</v>
      </c>
      <c r="I238" t="s">
        <v>45</v>
      </c>
    </row>
    <row r="239" spans="1:9" x14ac:dyDescent="0.25">
      <c r="A239" s="2">
        <v>45444</v>
      </c>
      <c r="B239">
        <v>59</v>
      </c>
      <c r="C239">
        <v>16</v>
      </c>
      <c r="D239">
        <v>359.47</v>
      </c>
      <c r="E239">
        <v>7</v>
      </c>
      <c r="F239">
        <v>3958.94</v>
      </c>
      <c r="G239" t="s">
        <v>9</v>
      </c>
      <c r="H239" t="s">
        <v>40</v>
      </c>
      <c r="I239" t="s">
        <v>45</v>
      </c>
    </row>
    <row r="240" spans="1:9" x14ac:dyDescent="0.25">
      <c r="A240" s="2">
        <v>45444</v>
      </c>
      <c r="B240">
        <v>18</v>
      </c>
      <c r="C240">
        <v>7</v>
      </c>
      <c r="D240">
        <v>85.32</v>
      </c>
      <c r="E240">
        <v>3</v>
      </c>
      <c r="F240">
        <v>1431.69</v>
      </c>
      <c r="G240" t="s">
        <v>12</v>
      </c>
      <c r="H240" t="s">
        <v>42</v>
      </c>
      <c r="I240" t="s">
        <v>46</v>
      </c>
    </row>
    <row r="241" spans="1:9" x14ac:dyDescent="0.25">
      <c r="A241" s="2">
        <v>45444</v>
      </c>
      <c r="B241">
        <v>61</v>
      </c>
      <c r="C241">
        <v>7</v>
      </c>
      <c r="D241">
        <v>219.53</v>
      </c>
      <c r="E241">
        <v>7</v>
      </c>
      <c r="F241">
        <v>3860.12</v>
      </c>
      <c r="G241" t="s">
        <v>16</v>
      </c>
      <c r="H241" t="s">
        <v>35</v>
      </c>
      <c r="I241" t="s">
        <v>45</v>
      </c>
    </row>
    <row r="242" spans="1:9" x14ac:dyDescent="0.25">
      <c r="A242" s="2">
        <v>45444</v>
      </c>
      <c r="B242">
        <v>93</v>
      </c>
      <c r="C242">
        <v>14</v>
      </c>
      <c r="D242">
        <v>466.81</v>
      </c>
      <c r="E242">
        <v>5</v>
      </c>
      <c r="F242">
        <v>988.98</v>
      </c>
      <c r="G242" t="s">
        <v>13</v>
      </c>
      <c r="H242" t="s">
        <v>42</v>
      </c>
      <c r="I242" t="s">
        <v>45</v>
      </c>
    </row>
    <row r="243" spans="1:9" x14ac:dyDescent="0.25">
      <c r="A243" s="2">
        <v>45444</v>
      </c>
      <c r="B243">
        <v>30</v>
      </c>
      <c r="C243">
        <v>16</v>
      </c>
      <c r="D243">
        <v>353.65</v>
      </c>
      <c r="E243">
        <v>9</v>
      </c>
      <c r="F243">
        <v>1213.5899999999999</v>
      </c>
      <c r="G243" t="s">
        <v>17</v>
      </c>
      <c r="H243" t="s">
        <v>41</v>
      </c>
      <c r="I243" t="s">
        <v>46</v>
      </c>
    </row>
    <row r="244" spans="1:9" x14ac:dyDescent="0.25">
      <c r="A244" s="2">
        <v>45444</v>
      </c>
      <c r="B244">
        <v>71</v>
      </c>
      <c r="C244">
        <v>11</v>
      </c>
      <c r="D244">
        <v>379.33</v>
      </c>
      <c r="E244">
        <v>4</v>
      </c>
      <c r="F244">
        <v>4003.52</v>
      </c>
      <c r="G244" t="s">
        <v>10</v>
      </c>
      <c r="H244" t="s">
        <v>35</v>
      </c>
      <c r="I244" t="s">
        <v>46</v>
      </c>
    </row>
    <row r="245" spans="1:9" x14ac:dyDescent="0.25">
      <c r="A245" s="2">
        <v>45444</v>
      </c>
      <c r="B245">
        <v>19</v>
      </c>
      <c r="C245">
        <v>7</v>
      </c>
      <c r="D245">
        <v>199.46</v>
      </c>
      <c r="E245">
        <v>7</v>
      </c>
      <c r="F245">
        <v>809.56</v>
      </c>
      <c r="G245" t="s">
        <v>19</v>
      </c>
      <c r="H245" t="s">
        <v>38</v>
      </c>
      <c r="I245" t="s">
        <v>45</v>
      </c>
    </row>
    <row r="246" spans="1:9" x14ac:dyDescent="0.25">
      <c r="A246" s="2">
        <v>45444</v>
      </c>
      <c r="B246">
        <v>35</v>
      </c>
      <c r="C246">
        <v>16</v>
      </c>
      <c r="D246">
        <v>351.71</v>
      </c>
      <c r="E246">
        <v>9</v>
      </c>
      <c r="F246">
        <v>3984.69</v>
      </c>
      <c r="G246" t="s">
        <v>34</v>
      </c>
      <c r="H246" t="s">
        <v>41</v>
      </c>
      <c r="I246" t="s">
        <v>45</v>
      </c>
    </row>
    <row r="247" spans="1:9" x14ac:dyDescent="0.25">
      <c r="A247" s="2">
        <v>45444</v>
      </c>
      <c r="B247">
        <v>35</v>
      </c>
      <c r="C247">
        <v>12</v>
      </c>
      <c r="D247">
        <v>515.24</v>
      </c>
      <c r="E247">
        <v>5</v>
      </c>
      <c r="F247">
        <v>224.24</v>
      </c>
      <c r="G247" t="s">
        <v>33</v>
      </c>
      <c r="H247" t="s">
        <v>42</v>
      </c>
      <c r="I247" t="s">
        <v>46</v>
      </c>
    </row>
    <row r="248" spans="1:9" x14ac:dyDescent="0.25">
      <c r="A248" s="2">
        <v>45444</v>
      </c>
      <c r="B248">
        <v>114</v>
      </c>
      <c r="C248">
        <v>13</v>
      </c>
      <c r="D248">
        <v>364.35</v>
      </c>
      <c r="E248">
        <v>0</v>
      </c>
      <c r="F248">
        <v>2988.28</v>
      </c>
      <c r="G248" t="s">
        <v>32</v>
      </c>
      <c r="H248" t="s">
        <v>39</v>
      </c>
      <c r="I248" t="s">
        <v>45</v>
      </c>
    </row>
    <row r="249" spans="1:9" x14ac:dyDescent="0.25">
      <c r="A249" s="2">
        <v>45444</v>
      </c>
      <c r="B249">
        <v>58</v>
      </c>
      <c r="C249">
        <v>7</v>
      </c>
      <c r="D249">
        <v>173.24</v>
      </c>
      <c r="E249">
        <v>7</v>
      </c>
      <c r="F249">
        <v>525.73</v>
      </c>
      <c r="G249" t="s">
        <v>31</v>
      </c>
      <c r="H249" t="s">
        <v>37</v>
      </c>
      <c r="I249" t="s">
        <v>46</v>
      </c>
    </row>
    <row r="250" spans="1:9" x14ac:dyDescent="0.25">
      <c r="A250" s="2">
        <v>45444</v>
      </c>
      <c r="B250">
        <v>92</v>
      </c>
      <c r="C250">
        <v>5</v>
      </c>
      <c r="D250">
        <v>569.75</v>
      </c>
      <c r="E250">
        <v>2</v>
      </c>
      <c r="F250">
        <v>3734.43</v>
      </c>
      <c r="G250" t="s">
        <v>30</v>
      </c>
      <c r="H250" t="s">
        <v>35</v>
      </c>
      <c r="I250" t="s">
        <v>45</v>
      </c>
    </row>
    <row r="251" spans="1:9" x14ac:dyDescent="0.25">
      <c r="A251" s="2">
        <v>45444</v>
      </c>
      <c r="B251">
        <v>21</v>
      </c>
      <c r="C251">
        <v>16</v>
      </c>
      <c r="D251">
        <v>315.91000000000003</v>
      </c>
      <c r="E251">
        <v>1</v>
      </c>
      <c r="F251">
        <v>1455.83</v>
      </c>
      <c r="G251" t="s">
        <v>29</v>
      </c>
      <c r="H251" t="s">
        <v>44</v>
      </c>
      <c r="I251" t="s">
        <v>45</v>
      </c>
    </row>
    <row r="252" spans="1:9" x14ac:dyDescent="0.25">
      <c r="A252" s="2">
        <v>45444</v>
      </c>
      <c r="B252">
        <v>69</v>
      </c>
      <c r="C252">
        <v>16</v>
      </c>
      <c r="D252">
        <v>495.32</v>
      </c>
      <c r="E252">
        <v>0</v>
      </c>
      <c r="F252">
        <v>1262.99</v>
      </c>
      <c r="G252" t="s">
        <v>28</v>
      </c>
      <c r="H252" t="s">
        <v>43</v>
      </c>
      <c r="I252" t="s">
        <v>46</v>
      </c>
    </row>
    <row r="253" spans="1:9" x14ac:dyDescent="0.25">
      <c r="A253" s="2">
        <v>45444</v>
      </c>
      <c r="B253">
        <v>88</v>
      </c>
      <c r="C253">
        <v>18</v>
      </c>
      <c r="D253">
        <v>181.21</v>
      </c>
      <c r="E253">
        <v>4</v>
      </c>
      <c r="F253">
        <v>377.13</v>
      </c>
      <c r="G253" t="s">
        <v>27</v>
      </c>
      <c r="H253" t="s">
        <v>38</v>
      </c>
      <c r="I253" t="s">
        <v>46</v>
      </c>
    </row>
    <row r="254" spans="1:9" x14ac:dyDescent="0.25">
      <c r="A254" s="2">
        <v>45444</v>
      </c>
      <c r="B254">
        <v>28</v>
      </c>
      <c r="C254">
        <v>16</v>
      </c>
      <c r="D254">
        <v>506.95</v>
      </c>
      <c r="E254">
        <v>6</v>
      </c>
      <c r="F254">
        <v>3993.03</v>
      </c>
      <c r="G254" t="s">
        <v>26</v>
      </c>
      <c r="H254" t="s">
        <v>35</v>
      </c>
      <c r="I254" t="s">
        <v>45</v>
      </c>
    </row>
    <row r="255" spans="1:9" x14ac:dyDescent="0.25">
      <c r="A255" s="2">
        <v>45444</v>
      </c>
      <c r="B255">
        <v>93</v>
      </c>
      <c r="C255">
        <v>5</v>
      </c>
      <c r="D255">
        <v>85.65</v>
      </c>
      <c r="E255">
        <v>5</v>
      </c>
      <c r="F255">
        <v>3913.17</v>
      </c>
      <c r="G255" t="s">
        <v>25</v>
      </c>
      <c r="H255" t="s">
        <v>39</v>
      </c>
      <c r="I255" t="s">
        <v>46</v>
      </c>
    </row>
    <row r="256" spans="1:9" x14ac:dyDescent="0.25">
      <c r="A256" s="2">
        <v>45444</v>
      </c>
      <c r="B256">
        <v>54</v>
      </c>
      <c r="C256">
        <v>16</v>
      </c>
      <c r="D256">
        <v>334.41</v>
      </c>
      <c r="E256">
        <v>9</v>
      </c>
      <c r="F256">
        <v>1056.98</v>
      </c>
      <c r="G256" t="s">
        <v>18</v>
      </c>
      <c r="H256" t="s">
        <v>44</v>
      </c>
      <c r="I256" t="s">
        <v>46</v>
      </c>
    </row>
    <row r="257" spans="1:9" x14ac:dyDescent="0.25">
      <c r="A257" s="2">
        <v>45444</v>
      </c>
      <c r="B257">
        <v>48</v>
      </c>
      <c r="C257">
        <v>14</v>
      </c>
      <c r="D257">
        <v>383.94</v>
      </c>
      <c r="E257">
        <v>3</v>
      </c>
      <c r="F257">
        <v>3173.36</v>
      </c>
      <c r="G257" t="s">
        <v>11</v>
      </c>
      <c r="H257" t="s">
        <v>40</v>
      </c>
      <c r="I257" t="s">
        <v>45</v>
      </c>
    </row>
    <row r="258" spans="1:9" x14ac:dyDescent="0.25">
      <c r="A258" s="2">
        <v>45444</v>
      </c>
      <c r="B258">
        <v>40</v>
      </c>
      <c r="C258">
        <v>6</v>
      </c>
      <c r="D258">
        <v>509.67</v>
      </c>
      <c r="E258">
        <v>4</v>
      </c>
      <c r="F258">
        <v>3330.44</v>
      </c>
      <c r="G258" t="s">
        <v>20</v>
      </c>
      <c r="H258" t="s">
        <v>42</v>
      </c>
      <c r="I258" t="s">
        <v>46</v>
      </c>
    </row>
    <row r="259" spans="1:9" x14ac:dyDescent="0.25">
      <c r="A259" s="2">
        <v>45444</v>
      </c>
      <c r="B259">
        <v>73</v>
      </c>
      <c r="C259">
        <v>21</v>
      </c>
      <c r="D259">
        <v>601.02</v>
      </c>
      <c r="E259">
        <v>2</v>
      </c>
      <c r="F259">
        <v>364.56</v>
      </c>
      <c r="G259" t="s">
        <v>21</v>
      </c>
      <c r="H259" t="s">
        <v>35</v>
      </c>
      <c r="I259" t="s">
        <v>46</v>
      </c>
    </row>
    <row r="260" spans="1:9" x14ac:dyDescent="0.25">
      <c r="A260" s="2">
        <v>45444</v>
      </c>
      <c r="B260">
        <v>36</v>
      </c>
      <c r="C260">
        <v>9</v>
      </c>
      <c r="D260">
        <v>196.74</v>
      </c>
      <c r="E260">
        <v>1</v>
      </c>
      <c r="F260">
        <v>3760.57</v>
      </c>
      <c r="G260" t="s">
        <v>22</v>
      </c>
      <c r="H260" t="s">
        <v>42</v>
      </c>
      <c r="I260" t="s">
        <v>46</v>
      </c>
    </row>
    <row r="261" spans="1:9" x14ac:dyDescent="0.25">
      <c r="A261" s="2">
        <v>45444</v>
      </c>
      <c r="B261">
        <v>58</v>
      </c>
      <c r="C261">
        <v>8</v>
      </c>
      <c r="D261">
        <v>196.58</v>
      </c>
      <c r="E261">
        <v>3</v>
      </c>
      <c r="F261">
        <v>692.47</v>
      </c>
      <c r="G261" t="s">
        <v>23</v>
      </c>
      <c r="H261" t="s">
        <v>41</v>
      </c>
      <c r="I261" t="s">
        <v>46</v>
      </c>
    </row>
    <row r="262" spans="1:9" x14ac:dyDescent="0.25">
      <c r="A262" s="2">
        <v>45444</v>
      </c>
      <c r="B262">
        <v>100</v>
      </c>
      <c r="C262">
        <v>5</v>
      </c>
      <c r="D262">
        <v>153.87</v>
      </c>
      <c r="E262">
        <v>2</v>
      </c>
      <c r="F262">
        <v>1190.24</v>
      </c>
      <c r="G262" t="s">
        <v>24</v>
      </c>
      <c r="H262" t="s">
        <v>35</v>
      </c>
      <c r="I262" t="s">
        <v>45</v>
      </c>
    </row>
    <row r="263" spans="1:9" x14ac:dyDescent="0.25">
      <c r="A263" s="2">
        <v>45446</v>
      </c>
      <c r="B263">
        <v>73</v>
      </c>
      <c r="C263">
        <v>18</v>
      </c>
      <c r="D263">
        <v>442.36558627693961</v>
      </c>
      <c r="E263">
        <v>4</v>
      </c>
      <c r="F263">
        <v>4614.853756662319</v>
      </c>
      <c r="G263" t="s">
        <v>48</v>
      </c>
      <c r="H263" t="s">
        <v>42</v>
      </c>
      <c r="I263" t="s">
        <v>46</v>
      </c>
    </row>
    <row r="264" spans="1:9" x14ac:dyDescent="0.25">
      <c r="A264" s="2">
        <v>45447</v>
      </c>
      <c r="B264">
        <v>60</v>
      </c>
      <c r="C264">
        <v>52</v>
      </c>
      <c r="D264">
        <v>181.30846967244571</v>
      </c>
      <c r="E264">
        <v>18</v>
      </c>
      <c r="F264">
        <v>2384.467362014329</v>
      </c>
      <c r="G264" t="s">
        <v>12</v>
      </c>
      <c r="H264" t="s">
        <v>44</v>
      </c>
      <c r="I264" t="s">
        <v>46</v>
      </c>
    </row>
    <row r="265" spans="1:9" x14ac:dyDescent="0.25">
      <c r="A265" s="2">
        <v>45448</v>
      </c>
      <c r="B265">
        <v>66</v>
      </c>
      <c r="C265">
        <v>57</v>
      </c>
      <c r="D265">
        <v>555.46359224692128</v>
      </c>
      <c r="E265">
        <v>13</v>
      </c>
      <c r="F265">
        <v>2224.123377122738</v>
      </c>
      <c r="G265" t="s">
        <v>18</v>
      </c>
      <c r="H265" t="s">
        <v>44</v>
      </c>
      <c r="I265" t="s">
        <v>46</v>
      </c>
    </row>
    <row r="266" spans="1:9" x14ac:dyDescent="0.25">
      <c r="A266" s="2">
        <v>45449</v>
      </c>
      <c r="B266">
        <v>57</v>
      </c>
      <c r="C266">
        <v>48</v>
      </c>
      <c r="D266">
        <v>511.26862146158447</v>
      </c>
      <c r="E266">
        <v>25</v>
      </c>
      <c r="F266">
        <v>2835.1296737727689</v>
      </c>
      <c r="G266" t="s">
        <v>34</v>
      </c>
      <c r="H266" t="s">
        <v>36</v>
      </c>
      <c r="I266" t="s">
        <v>46</v>
      </c>
    </row>
    <row r="267" spans="1:9" x14ac:dyDescent="0.25">
      <c r="A267" s="2">
        <v>45450</v>
      </c>
      <c r="B267">
        <v>84</v>
      </c>
      <c r="C267">
        <v>51</v>
      </c>
      <c r="D267">
        <v>574.89995664596199</v>
      </c>
      <c r="E267">
        <v>3</v>
      </c>
      <c r="F267">
        <v>711.3468504877477</v>
      </c>
      <c r="G267" t="s">
        <v>48</v>
      </c>
      <c r="H267" t="s">
        <v>37</v>
      </c>
      <c r="I267" t="s">
        <v>45</v>
      </c>
    </row>
    <row r="268" spans="1:9" x14ac:dyDescent="0.25">
      <c r="A268" s="2">
        <v>45453</v>
      </c>
      <c r="B268">
        <v>84</v>
      </c>
      <c r="C268">
        <v>35</v>
      </c>
      <c r="D268">
        <v>462.85975419418003</v>
      </c>
      <c r="E268">
        <v>24</v>
      </c>
      <c r="F268">
        <v>1248.2751594023571</v>
      </c>
      <c r="G268" t="s">
        <v>12</v>
      </c>
      <c r="H268" t="s">
        <v>40</v>
      </c>
      <c r="I268" t="s">
        <v>45</v>
      </c>
    </row>
    <row r="269" spans="1:9" x14ac:dyDescent="0.25">
      <c r="A269" s="2">
        <v>45454</v>
      </c>
      <c r="B269">
        <v>82</v>
      </c>
      <c r="C269">
        <v>59</v>
      </c>
      <c r="D269">
        <v>406.70759796789491</v>
      </c>
      <c r="E269">
        <v>24</v>
      </c>
      <c r="F269">
        <v>3821.1512739186669</v>
      </c>
      <c r="G269" t="s">
        <v>9</v>
      </c>
      <c r="H269" t="s">
        <v>40</v>
      </c>
      <c r="I269" t="s">
        <v>46</v>
      </c>
    </row>
    <row r="270" spans="1:9" x14ac:dyDescent="0.25">
      <c r="A270" s="2">
        <v>45455</v>
      </c>
      <c r="B270">
        <v>54</v>
      </c>
      <c r="C270">
        <v>34</v>
      </c>
      <c r="D270">
        <v>309.12151814530938</v>
      </c>
      <c r="E270">
        <v>17</v>
      </c>
      <c r="F270">
        <v>872.59400566306908</v>
      </c>
      <c r="G270" t="s">
        <v>18</v>
      </c>
      <c r="H270" t="s">
        <v>37</v>
      </c>
      <c r="I270" t="s">
        <v>46</v>
      </c>
    </row>
    <row r="271" spans="1:9" x14ac:dyDescent="0.25">
      <c r="A271" s="2">
        <v>45456</v>
      </c>
      <c r="B271">
        <v>91</v>
      </c>
      <c r="C271">
        <v>33</v>
      </c>
      <c r="D271">
        <v>566.3642416770067</v>
      </c>
      <c r="E271">
        <v>39</v>
      </c>
      <c r="F271">
        <v>3214.1844925987471</v>
      </c>
      <c r="G271" t="s">
        <v>9</v>
      </c>
      <c r="H271" t="s">
        <v>44</v>
      </c>
      <c r="I271" t="s">
        <v>45</v>
      </c>
    </row>
    <row r="272" spans="1:9" x14ac:dyDescent="0.25">
      <c r="A272" s="2">
        <v>45457</v>
      </c>
      <c r="B272">
        <v>88</v>
      </c>
      <c r="C272">
        <v>22</v>
      </c>
      <c r="D272">
        <v>533.03194475020416</v>
      </c>
      <c r="E272">
        <v>7</v>
      </c>
      <c r="F272">
        <v>1604.070993565944</v>
      </c>
      <c r="G272" t="s">
        <v>49</v>
      </c>
      <c r="H272" t="s">
        <v>36</v>
      </c>
      <c r="I272" t="s">
        <v>45</v>
      </c>
    </row>
    <row r="273" spans="1:9" x14ac:dyDescent="0.25">
      <c r="A273" s="2">
        <v>45460</v>
      </c>
      <c r="B273">
        <v>90</v>
      </c>
      <c r="C273">
        <v>69</v>
      </c>
      <c r="D273">
        <v>122.6093350530947</v>
      </c>
      <c r="E273">
        <v>38</v>
      </c>
      <c r="F273">
        <v>2251.8302631888951</v>
      </c>
      <c r="G273" t="s">
        <v>47</v>
      </c>
      <c r="H273" t="s">
        <v>37</v>
      </c>
      <c r="I273" t="s">
        <v>46</v>
      </c>
    </row>
    <row r="274" spans="1:9" x14ac:dyDescent="0.25">
      <c r="A274" s="2">
        <v>45461</v>
      </c>
      <c r="B274">
        <v>77</v>
      </c>
      <c r="C274">
        <v>16</v>
      </c>
      <c r="D274">
        <v>113.18348724862599</v>
      </c>
      <c r="E274">
        <v>39</v>
      </c>
      <c r="F274">
        <v>1799.121815468149</v>
      </c>
      <c r="G274" t="s">
        <v>18</v>
      </c>
      <c r="H274" t="s">
        <v>36</v>
      </c>
      <c r="I274" t="s">
        <v>46</v>
      </c>
    </row>
    <row r="275" spans="1:9" x14ac:dyDescent="0.25">
      <c r="A275" s="2">
        <v>45462</v>
      </c>
      <c r="B275">
        <v>56</v>
      </c>
      <c r="C275">
        <v>66</v>
      </c>
      <c r="D275">
        <v>288.23168343902478</v>
      </c>
      <c r="E275">
        <v>13</v>
      </c>
      <c r="F275">
        <v>2100.5272240922709</v>
      </c>
      <c r="G275" t="s">
        <v>12</v>
      </c>
      <c r="H275" t="s">
        <v>36</v>
      </c>
      <c r="I275" t="s">
        <v>46</v>
      </c>
    </row>
    <row r="276" spans="1:9" x14ac:dyDescent="0.25">
      <c r="A276" s="2">
        <v>45463</v>
      </c>
      <c r="B276">
        <v>58</v>
      </c>
      <c r="C276">
        <v>45</v>
      </c>
      <c r="D276">
        <v>505.27666539091638</v>
      </c>
      <c r="E276">
        <v>31</v>
      </c>
      <c r="F276">
        <v>3735.7065733291051</v>
      </c>
      <c r="G276" t="s">
        <v>12</v>
      </c>
      <c r="H276" t="s">
        <v>36</v>
      </c>
      <c r="I276" t="s">
        <v>46</v>
      </c>
    </row>
    <row r="277" spans="1:9" x14ac:dyDescent="0.25">
      <c r="A277" s="2">
        <v>45464</v>
      </c>
      <c r="B277">
        <v>57</v>
      </c>
      <c r="C277">
        <v>54</v>
      </c>
      <c r="D277">
        <v>593.63806465747223</v>
      </c>
      <c r="E277">
        <v>37</v>
      </c>
      <c r="F277">
        <v>1837.0477203042881</v>
      </c>
      <c r="G277" t="s">
        <v>49</v>
      </c>
      <c r="H277" t="s">
        <v>35</v>
      </c>
      <c r="I277" t="s">
        <v>45</v>
      </c>
    </row>
    <row r="278" spans="1:9" x14ac:dyDescent="0.25">
      <c r="A278" s="2">
        <v>45467</v>
      </c>
      <c r="B278">
        <v>61</v>
      </c>
      <c r="C278">
        <v>29</v>
      </c>
      <c r="D278">
        <v>175.2084455517641</v>
      </c>
      <c r="E278">
        <v>32</v>
      </c>
      <c r="F278">
        <v>3048.820881336037</v>
      </c>
      <c r="G278" t="s">
        <v>49</v>
      </c>
      <c r="H278" t="s">
        <v>42</v>
      </c>
      <c r="I278" t="s">
        <v>45</v>
      </c>
    </row>
    <row r="279" spans="1:9" x14ac:dyDescent="0.25">
      <c r="A279" s="2">
        <v>45468</v>
      </c>
      <c r="B279">
        <v>83</v>
      </c>
      <c r="C279">
        <v>74</v>
      </c>
      <c r="D279">
        <v>397.06535767606749</v>
      </c>
      <c r="E279">
        <v>22</v>
      </c>
      <c r="F279">
        <v>2642.226809895948</v>
      </c>
      <c r="G279" t="s">
        <v>10</v>
      </c>
      <c r="H279" t="s">
        <v>36</v>
      </c>
      <c r="I279" t="s">
        <v>45</v>
      </c>
    </row>
    <row r="280" spans="1:9" x14ac:dyDescent="0.25">
      <c r="A280" s="2">
        <v>45469</v>
      </c>
      <c r="B280">
        <v>82</v>
      </c>
      <c r="C280">
        <v>17</v>
      </c>
      <c r="D280">
        <v>290.44542831551081</v>
      </c>
      <c r="E280">
        <v>14</v>
      </c>
      <c r="F280">
        <v>3486.520244131917</v>
      </c>
      <c r="G280" t="s">
        <v>18</v>
      </c>
      <c r="H280" t="s">
        <v>35</v>
      </c>
      <c r="I280" t="s">
        <v>46</v>
      </c>
    </row>
    <row r="281" spans="1:9" x14ac:dyDescent="0.25">
      <c r="A281" s="2">
        <v>45470</v>
      </c>
      <c r="B281">
        <v>97</v>
      </c>
      <c r="C281">
        <v>25</v>
      </c>
      <c r="D281">
        <v>584.95719890730152</v>
      </c>
      <c r="E281">
        <v>32</v>
      </c>
      <c r="F281">
        <v>4715.7338269614111</v>
      </c>
      <c r="G281" t="s">
        <v>9</v>
      </c>
      <c r="H281" t="s">
        <v>44</v>
      </c>
      <c r="I281" t="s">
        <v>46</v>
      </c>
    </row>
    <row r="282" spans="1:9" x14ac:dyDescent="0.25">
      <c r="A282" s="2">
        <v>45471</v>
      </c>
      <c r="B282">
        <v>72</v>
      </c>
      <c r="C282">
        <v>23</v>
      </c>
      <c r="D282">
        <v>521.05946156785433</v>
      </c>
      <c r="E282">
        <v>24</v>
      </c>
      <c r="F282">
        <v>3796.574437446126</v>
      </c>
      <c r="G282" t="s">
        <v>34</v>
      </c>
      <c r="H282" t="s">
        <v>37</v>
      </c>
      <c r="I282" t="s">
        <v>45</v>
      </c>
    </row>
    <row r="283" spans="1:9" x14ac:dyDescent="0.25">
      <c r="A283" s="2">
        <v>45474</v>
      </c>
      <c r="B283">
        <v>34</v>
      </c>
      <c r="C283">
        <v>7</v>
      </c>
      <c r="D283">
        <v>199.39</v>
      </c>
      <c r="E283">
        <v>1</v>
      </c>
      <c r="F283">
        <v>3767.74</v>
      </c>
      <c r="G283" t="s">
        <v>22</v>
      </c>
      <c r="H283" t="s">
        <v>44</v>
      </c>
      <c r="I283" t="s">
        <v>45</v>
      </c>
    </row>
    <row r="284" spans="1:9" x14ac:dyDescent="0.25">
      <c r="A284" s="2">
        <v>45474</v>
      </c>
      <c r="B284">
        <v>72</v>
      </c>
      <c r="C284">
        <v>21</v>
      </c>
      <c r="D284">
        <v>604.57000000000005</v>
      </c>
      <c r="E284">
        <v>2</v>
      </c>
      <c r="F284">
        <v>327.82</v>
      </c>
      <c r="G284" t="s">
        <v>21</v>
      </c>
      <c r="H284" t="s">
        <v>43</v>
      </c>
      <c r="I284" t="s">
        <v>46</v>
      </c>
    </row>
    <row r="285" spans="1:9" x14ac:dyDescent="0.25">
      <c r="A285" s="2">
        <v>45474</v>
      </c>
      <c r="B285">
        <v>32</v>
      </c>
      <c r="C285">
        <v>6</v>
      </c>
      <c r="D285">
        <v>553.58000000000004</v>
      </c>
      <c r="E285">
        <v>3</v>
      </c>
      <c r="F285">
        <v>3939.56</v>
      </c>
      <c r="G285" t="s">
        <v>20</v>
      </c>
      <c r="H285" t="s">
        <v>44</v>
      </c>
      <c r="I285" t="s">
        <v>46</v>
      </c>
    </row>
    <row r="286" spans="1:9" x14ac:dyDescent="0.25">
      <c r="A286" s="2">
        <v>45474</v>
      </c>
      <c r="B286">
        <v>17</v>
      </c>
      <c r="C286">
        <v>8</v>
      </c>
      <c r="D286">
        <v>208.21</v>
      </c>
      <c r="E286">
        <v>4</v>
      </c>
      <c r="F286">
        <v>828.73</v>
      </c>
      <c r="G286" t="s">
        <v>19</v>
      </c>
      <c r="H286" t="s">
        <v>39</v>
      </c>
      <c r="I286" t="s">
        <v>45</v>
      </c>
    </row>
    <row r="287" spans="1:9" x14ac:dyDescent="0.25">
      <c r="A287" s="2">
        <v>45474</v>
      </c>
      <c r="B287">
        <v>50</v>
      </c>
      <c r="C287">
        <v>9</v>
      </c>
      <c r="D287">
        <v>246.06</v>
      </c>
      <c r="E287">
        <v>5</v>
      </c>
      <c r="F287">
        <v>4227.22</v>
      </c>
      <c r="G287" t="s">
        <v>16</v>
      </c>
      <c r="H287" t="s">
        <v>42</v>
      </c>
      <c r="I287" t="s">
        <v>45</v>
      </c>
    </row>
    <row r="288" spans="1:9" x14ac:dyDescent="0.25">
      <c r="A288" s="2">
        <v>45474</v>
      </c>
      <c r="B288">
        <v>31</v>
      </c>
      <c r="C288">
        <v>15</v>
      </c>
      <c r="D288">
        <v>347.38</v>
      </c>
      <c r="E288">
        <v>10</v>
      </c>
      <c r="F288">
        <v>1101.06</v>
      </c>
      <c r="G288" t="s">
        <v>17</v>
      </c>
      <c r="H288" t="s">
        <v>41</v>
      </c>
      <c r="I288" t="s">
        <v>45</v>
      </c>
    </row>
    <row r="289" spans="1:9" x14ac:dyDescent="0.25">
      <c r="A289" s="2">
        <v>45474</v>
      </c>
      <c r="B289">
        <v>77</v>
      </c>
      <c r="C289">
        <v>15</v>
      </c>
      <c r="D289">
        <v>282.58999999999997</v>
      </c>
      <c r="E289">
        <v>2</v>
      </c>
      <c r="F289">
        <v>2296.14</v>
      </c>
      <c r="G289" t="s">
        <v>15</v>
      </c>
      <c r="H289" t="s">
        <v>44</v>
      </c>
      <c r="I289" t="s">
        <v>45</v>
      </c>
    </row>
    <row r="290" spans="1:9" x14ac:dyDescent="0.25">
      <c r="A290" s="2">
        <v>45474</v>
      </c>
      <c r="B290">
        <v>70</v>
      </c>
      <c r="C290">
        <v>5</v>
      </c>
      <c r="D290">
        <v>491.31</v>
      </c>
      <c r="E290">
        <v>3</v>
      </c>
      <c r="F290">
        <v>3289.06</v>
      </c>
      <c r="G290" t="s">
        <v>14</v>
      </c>
      <c r="H290" t="s">
        <v>42</v>
      </c>
      <c r="I290" t="s">
        <v>45</v>
      </c>
    </row>
    <row r="291" spans="1:9" x14ac:dyDescent="0.25">
      <c r="A291" s="2">
        <v>45474</v>
      </c>
      <c r="B291">
        <v>77</v>
      </c>
      <c r="C291">
        <v>16</v>
      </c>
      <c r="D291">
        <v>335.59</v>
      </c>
      <c r="E291">
        <v>7</v>
      </c>
      <c r="F291">
        <v>1087.4100000000001</v>
      </c>
      <c r="G291" t="s">
        <v>18</v>
      </c>
      <c r="H291" t="s">
        <v>40</v>
      </c>
      <c r="I291" t="s">
        <v>45</v>
      </c>
    </row>
    <row r="292" spans="1:9" x14ac:dyDescent="0.25">
      <c r="A292" s="2">
        <v>45474</v>
      </c>
      <c r="B292">
        <v>71</v>
      </c>
      <c r="C292">
        <v>9</v>
      </c>
      <c r="D292">
        <v>220.4</v>
      </c>
      <c r="E292">
        <v>2</v>
      </c>
      <c r="F292">
        <v>692.29</v>
      </c>
      <c r="G292" t="s">
        <v>23</v>
      </c>
      <c r="H292" t="s">
        <v>35</v>
      </c>
      <c r="I292" t="s">
        <v>45</v>
      </c>
    </row>
    <row r="293" spans="1:9" x14ac:dyDescent="0.25">
      <c r="A293" s="2">
        <v>45474</v>
      </c>
      <c r="B293">
        <v>24</v>
      </c>
      <c r="C293">
        <v>13</v>
      </c>
      <c r="D293">
        <v>471.72</v>
      </c>
      <c r="E293">
        <v>7</v>
      </c>
      <c r="F293">
        <v>3588.89</v>
      </c>
      <c r="G293" t="s">
        <v>26</v>
      </c>
      <c r="H293" t="s">
        <v>38</v>
      </c>
      <c r="I293" t="s">
        <v>45</v>
      </c>
    </row>
    <row r="294" spans="1:9" x14ac:dyDescent="0.25">
      <c r="A294" s="2">
        <v>45474</v>
      </c>
      <c r="B294">
        <v>71</v>
      </c>
      <c r="C294">
        <v>7</v>
      </c>
      <c r="D294">
        <v>78.53</v>
      </c>
      <c r="E294">
        <v>4</v>
      </c>
      <c r="F294">
        <v>3652.64</v>
      </c>
      <c r="G294" t="s">
        <v>25</v>
      </c>
      <c r="H294" t="s">
        <v>43</v>
      </c>
      <c r="I294" t="s">
        <v>46</v>
      </c>
    </row>
    <row r="295" spans="1:9" x14ac:dyDescent="0.25">
      <c r="A295" s="2">
        <v>45474</v>
      </c>
      <c r="B295">
        <v>71</v>
      </c>
      <c r="C295">
        <v>12</v>
      </c>
      <c r="D295">
        <v>487.04</v>
      </c>
      <c r="E295">
        <v>5</v>
      </c>
      <c r="F295">
        <v>1004.9</v>
      </c>
      <c r="G295" t="s">
        <v>13</v>
      </c>
      <c r="H295" t="s">
        <v>42</v>
      </c>
      <c r="I295" t="s">
        <v>45</v>
      </c>
    </row>
    <row r="296" spans="1:9" x14ac:dyDescent="0.25">
      <c r="A296" s="2">
        <v>45474</v>
      </c>
      <c r="B296">
        <v>75</v>
      </c>
      <c r="C296">
        <v>17</v>
      </c>
      <c r="D296">
        <v>176.07</v>
      </c>
      <c r="E296">
        <v>5</v>
      </c>
      <c r="F296">
        <v>458.18</v>
      </c>
      <c r="G296" t="s">
        <v>27</v>
      </c>
      <c r="H296" t="s">
        <v>40</v>
      </c>
      <c r="I296" t="s">
        <v>45</v>
      </c>
    </row>
    <row r="297" spans="1:9" x14ac:dyDescent="0.25">
      <c r="A297" s="2">
        <v>45474</v>
      </c>
      <c r="B297">
        <v>76</v>
      </c>
      <c r="C297">
        <v>11</v>
      </c>
      <c r="D297">
        <v>486.93</v>
      </c>
      <c r="E297">
        <v>0</v>
      </c>
      <c r="F297">
        <v>1219.29</v>
      </c>
      <c r="G297" t="s">
        <v>28</v>
      </c>
      <c r="H297" t="s">
        <v>40</v>
      </c>
      <c r="I297" t="s">
        <v>46</v>
      </c>
    </row>
    <row r="298" spans="1:9" x14ac:dyDescent="0.25">
      <c r="A298" s="2">
        <v>45474</v>
      </c>
      <c r="B298">
        <v>20</v>
      </c>
      <c r="C298">
        <v>14</v>
      </c>
      <c r="D298">
        <v>283.66000000000003</v>
      </c>
      <c r="E298">
        <v>2</v>
      </c>
      <c r="F298">
        <v>1494.14</v>
      </c>
      <c r="G298" t="s">
        <v>29</v>
      </c>
      <c r="H298" t="s">
        <v>40</v>
      </c>
      <c r="I298" t="s">
        <v>45</v>
      </c>
    </row>
    <row r="299" spans="1:9" x14ac:dyDescent="0.25">
      <c r="A299" s="2">
        <v>45474</v>
      </c>
      <c r="B299">
        <v>79</v>
      </c>
      <c r="C299">
        <v>6</v>
      </c>
      <c r="D299">
        <v>536.04999999999995</v>
      </c>
      <c r="E299">
        <v>1</v>
      </c>
      <c r="F299">
        <v>3682.29</v>
      </c>
      <c r="G299" t="s">
        <v>30</v>
      </c>
      <c r="H299" t="s">
        <v>39</v>
      </c>
      <c r="I299" t="s">
        <v>46</v>
      </c>
    </row>
    <row r="300" spans="1:9" x14ac:dyDescent="0.25">
      <c r="A300" s="2">
        <v>45474</v>
      </c>
      <c r="B300">
        <v>82</v>
      </c>
      <c r="C300">
        <v>9</v>
      </c>
      <c r="D300">
        <v>171.86</v>
      </c>
      <c r="E300">
        <v>7</v>
      </c>
      <c r="F300">
        <v>506.88</v>
      </c>
      <c r="G300" t="s">
        <v>31</v>
      </c>
      <c r="H300" t="s">
        <v>35</v>
      </c>
      <c r="I300" t="s">
        <v>45</v>
      </c>
    </row>
    <row r="301" spans="1:9" x14ac:dyDescent="0.25">
      <c r="A301" s="2">
        <v>45474</v>
      </c>
      <c r="B301">
        <v>103</v>
      </c>
      <c r="C301">
        <v>15</v>
      </c>
      <c r="D301">
        <v>359.16</v>
      </c>
      <c r="E301">
        <v>1</v>
      </c>
      <c r="F301">
        <v>2949.94</v>
      </c>
      <c r="G301" t="s">
        <v>32</v>
      </c>
      <c r="H301" t="s">
        <v>40</v>
      </c>
      <c r="I301" t="s">
        <v>45</v>
      </c>
    </row>
    <row r="302" spans="1:9" x14ac:dyDescent="0.25">
      <c r="A302" s="2">
        <v>45474</v>
      </c>
      <c r="B302">
        <v>41</v>
      </c>
      <c r="C302">
        <v>9</v>
      </c>
      <c r="D302">
        <v>569.97</v>
      </c>
      <c r="E302">
        <v>5</v>
      </c>
      <c r="F302">
        <v>259.86</v>
      </c>
      <c r="G302" t="s">
        <v>33</v>
      </c>
      <c r="H302" t="s">
        <v>38</v>
      </c>
      <c r="I302" t="s">
        <v>45</v>
      </c>
    </row>
    <row r="303" spans="1:9" x14ac:dyDescent="0.25">
      <c r="A303" s="2">
        <v>45474</v>
      </c>
      <c r="B303">
        <v>38</v>
      </c>
      <c r="C303">
        <v>14</v>
      </c>
      <c r="D303">
        <v>359.22</v>
      </c>
      <c r="E303">
        <v>8</v>
      </c>
      <c r="F303">
        <v>3846.34</v>
      </c>
      <c r="G303" t="s">
        <v>34</v>
      </c>
      <c r="H303" t="s">
        <v>35</v>
      </c>
      <c r="I303" t="s">
        <v>46</v>
      </c>
    </row>
    <row r="304" spans="1:9" x14ac:dyDescent="0.25">
      <c r="A304" s="2">
        <v>45474</v>
      </c>
      <c r="B304">
        <v>83</v>
      </c>
      <c r="C304">
        <v>5</v>
      </c>
      <c r="D304">
        <v>166.85</v>
      </c>
      <c r="E304">
        <v>4</v>
      </c>
      <c r="F304">
        <v>1364.24</v>
      </c>
      <c r="G304" t="s">
        <v>24</v>
      </c>
      <c r="H304" t="s">
        <v>44</v>
      </c>
      <c r="I304" t="s">
        <v>46</v>
      </c>
    </row>
    <row r="305" spans="1:9" x14ac:dyDescent="0.25">
      <c r="A305" s="2">
        <v>45474</v>
      </c>
      <c r="B305">
        <v>18</v>
      </c>
      <c r="C305">
        <v>6</v>
      </c>
      <c r="D305">
        <v>76.27</v>
      </c>
      <c r="E305">
        <v>4</v>
      </c>
      <c r="F305">
        <v>1597.98</v>
      </c>
      <c r="G305" t="s">
        <v>12</v>
      </c>
      <c r="H305" t="s">
        <v>39</v>
      </c>
      <c r="I305" t="s">
        <v>45</v>
      </c>
    </row>
    <row r="306" spans="1:9" x14ac:dyDescent="0.25">
      <c r="A306" s="2">
        <v>45474</v>
      </c>
      <c r="B306">
        <v>62</v>
      </c>
      <c r="C306">
        <v>13</v>
      </c>
      <c r="D306">
        <v>364.64</v>
      </c>
      <c r="E306">
        <v>4</v>
      </c>
      <c r="F306">
        <v>3704.33</v>
      </c>
      <c r="G306" t="s">
        <v>10</v>
      </c>
      <c r="H306" t="s">
        <v>40</v>
      </c>
      <c r="I306" t="s">
        <v>46</v>
      </c>
    </row>
    <row r="307" spans="1:9" x14ac:dyDescent="0.25">
      <c r="A307" s="2">
        <v>45474</v>
      </c>
      <c r="B307">
        <v>71</v>
      </c>
      <c r="C307">
        <v>17</v>
      </c>
      <c r="D307">
        <v>360.1</v>
      </c>
      <c r="E307">
        <v>6</v>
      </c>
      <c r="F307">
        <v>4444.83</v>
      </c>
      <c r="G307" t="s">
        <v>9</v>
      </c>
      <c r="H307" t="s">
        <v>37</v>
      </c>
      <c r="I307" t="s">
        <v>46</v>
      </c>
    </row>
    <row r="308" spans="1:9" x14ac:dyDescent="0.25">
      <c r="A308" s="2">
        <v>45474</v>
      </c>
      <c r="B308">
        <v>53</v>
      </c>
      <c r="C308">
        <v>14</v>
      </c>
      <c r="D308">
        <v>367.56</v>
      </c>
      <c r="E308">
        <v>2</v>
      </c>
      <c r="F308">
        <v>3514.07</v>
      </c>
      <c r="G308" t="s">
        <v>11</v>
      </c>
      <c r="H308" t="s">
        <v>36</v>
      </c>
      <c r="I308" t="s">
        <v>45</v>
      </c>
    </row>
    <row r="309" spans="1:9" x14ac:dyDescent="0.25">
      <c r="A309" s="2">
        <v>45475</v>
      </c>
      <c r="B309">
        <v>73</v>
      </c>
      <c r="C309">
        <v>24</v>
      </c>
      <c r="D309">
        <v>519.16435235556901</v>
      </c>
      <c r="E309">
        <v>16</v>
      </c>
      <c r="F309">
        <v>1467.231703658405</v>
      </c>
      <c r="G309" t="s">
        <v>12</v>
      </c>
      <c r="H309" t="s">
        <v>42</v>
      </c>
      <c r="I309" t="s">
        <v>45</v>
      </c>
    </row>
    <row r="310" spans="1:9" x14ac:dyDescent="0.25">
      <c r="A310" s="2">
        <v>45476</v>
      </c>
      <c r="B310">
        <v>86</v>
      </c>
      <c r="C310">
        <v>75</v>
      </c>
      <c r="D310">
        <v>334.34657989748513</v>
      </c>
      <c r="E310">
        <v>32</v>
      </c>
      <c r="F310">
        <v>640.32410777578104</v>
      </c>
      <c r="G310" t="s">
        <v>12</v>
      </c>
      <c r="H310" t="s">
        <v>38</v>
      </c>
      <c r="I310" t="s">
        <v>45</v>
      </c>
    </row>
    <row r="311" spans="1:9" x14ac:dyDescent="0.25">
      <c r="A311" s="2">
        <v>45477</v>
      </c>
      <c r="B311">
        <v>84</v>
      </c>
      <c r="C311">
        <v>41</v>
      </c>
      <c r="D311">
        <v>307.4097511688326</v>
      </c>
      <c r="E311">
        <v>1</v>
      </c>
      <c r="F311">
        <v>1680.1881993492129</v>
      </c>
      <c r="G311" t="s">
        <v>49</v>
      </c>
      <c r="H311" t="s">
        <v>37</v>
      </c>
      <c r="I311" t="s">
        <v>45</v>
      </c>
    </row>
    <row r="312" spans="1:9" x14ac:dyDescent="0.25">
      <c r="A312" s="2">
        <v>45478</v>
      </c>
      <c r="B312">
        <v>93</v>
      </c>
      <c r="C312">
        <v>72</v>
      </c>
      <c r="D312">
        <v>236.7035359653531</v>
      </c>
      <c r="E312">
        <v>13</v>
      </c>
      <c r="F312">
        <v>3177.8506881511471</v>
      </c>
      <c r="G312" t="s">
        <v>48</v>
      </c>
      <c r="H312" t="s">
        <v>42</v>
      </c>
      <c r="I312" t="s">
        <v>46</v>
      </c>
    </row>
    <row r="313" spans="1:9" x14ac:dyDescent="0.25">
      <c r="A313" s="2">
        <v>45481</v>
      </c>
      <c r="B313">
        <v>89</v>
      </c>
      <c r="C313">
        <v>60</v>
      </c>
      <c r="D313">
        <v>128.18774832546359</v>
      </c>
      <c r="E313">
        <v>39</v>
      </c>
      <c r="F313">
        <v>731.41616067912651</v>
      </c>
      <c r="G313" t="s">
        <v>49</v>
      </c>
      <c r="H313" t="s">
        <v>38</v>
      </c>
      <c r="I313" t="s">
        <v>45</v>
      </c>
    </row>
    <row r="314" spans="1:9" x14ac:dyDescent="0.25">
      <c r="A314" s="2">
        <v>45482</v>
      </c>
      <c r="B314">
        <v>71</v>
      </c>
      <c r="C314">
        <v>34</v>
      </c>
      <c r="D314">
        <v>532.36118812752659</v>
      </c>
      <c r="E314">
        <v>39</v>
      </c>
      <c r="F314">
        <v>2733.648112405564</v>
      </c>
      <c r="G314" t="s">
        <v>34</v>
      </c>
      <c r="H314" t="s">
        <v>37</v>
      </c>
      <c r="I314" t="s">
        <v>45</v>
      </c>
    </row>
    <row r="315" spans="1:9" x14ac:dyDescent="0.25">
      <c r="A315" s="2">
        <v>45483</v>
      </c>
      <c r="B315">
        <v>76</v>
      </c>
      <c r="C315">
        <v>67</v>
      </c>
      <c r="D315">
        <v>506.45050456503878</v>
      </c>
      <c r="E315">
        <v>38</v>
      </c>
      <c r="F315">
        <v>3185.792820126002</v>
      </c>
      <c r="G315" t="s">
        <v>9</v>
      </c>
      <c r="H315" t="s">
        <v>42</v>
      </c>
      <c r="I315" t="s">
        <v>45</v>
      </c>
    </row>
    <row r="316" spans="1:9" x14ac:dyDescent="0.25">
      <c r="A316" s="2">
        <v>45484</v>
      </c>
      <c r="B316">
        <v>84</v>
      </c>
      <c r="C316">
        <v>72</v>
      </c>
      <c r="D316">
        <v>599.85883664306527</v>
      </c>
      <c r="E316">
        <v>5</v>
      </c>
      <c r="F316">
        <v>2004.097508676324</v>
      </c>
      <c r="G316" t="s">
        <v>9</v>
      </c>
      <c r="H316" t="s">
        <v>37</v>
      </c>
      <c r="I316" t="s">
        <v>45</v>
      </c>
    </row>
    <row r="317" spans="1:9" x14ac:dyDescent="0.25">
      <c r="A317" s="2">
        <v>45485</v>
      </c>
      <c r="B317">
        <v>50</v>
      </c>
      <c r="C317">
        <v>71</v>
      </c>
      <c r="D317">
        <v>598.31841853695266</v>
      </c>
      <c r="E317">
        <v>5</v>
      </c>
      <c r="F317">
        <v>3969.104916856199</v>
      </c>
      <c r="G317" t="s">
        <v>48</v>
      </c>
      <c r="H317" t="s">
        <v>37</v>
      </c>
      <c r="I317" t="s">
        <v>45</v>
      </c>
    </row>
    <row r="318" spans="1:9" x14ac:dyDescent="0.25">
      <c r="A318" s="2">
        <v>45488</v>
      </c>
      <c r="B318">
        <v>84</v>
      </c>
      <c r="C318">
        <v>31</v>
      </c>
      <c r="D318">
        <v>377.7158528013137</v>
      </c>
      <c r="E318">
        <v>2</v>
      </c>
      <c r="F318">
        <v>979.69213910197311</v>
      </c>
      <c r="G318" t="s">
        <v>12</v>
      </c>
      <c r="H318" t="s">
        <v>38</v>
      </c>
      <c r="I318" t="s">
        <v>45</v>
      </c>
    </row>
    <row r="319" spans="1:9" x14ac:dyDescent="0.25">
      <c r="A319" s="2">
        <v>45489</v>
      </c>
      <c r="B319">
        <v>86</v>
      </c>
      <c r="C319">
        <v>67</v>
      </c>
      <c r="D319">
        <v>484.49370759025533</v>
      </c>
      <c r="E319">
        <v>6</v>
      </c>
      <c r="F319">
        <v>838.12001781113941</v>
      </c>
      <c r="G319" t="s">
        <v>49</v>
      </c>
      <c r="H319" t="s">
        <v>37</v>
      </c>
      <c r="I319" t="s">
        <v>45</v>
      </c>
    </row>
    <row r="320" spans="1:9" x14ac:dyDescent="0.25">
      <c r="A320" s="2">
        <v>45490</v>
      </c>
      <c r="B320">
        <v>96</v>
      </c>
      <c r="C320">
        <v>67</v>
      </c>
      <c r="D320">
        <v>572.38286494121394</v>
      </c>
      <c r="E320">
        <v>7</v>
      </c>
      <c r="F320">
        <v>3776.8494029162148</v>
      </c>
      <c r="G320" t="s">
        <v>10</v>
      </c>
      <c r="H320" t="s">
        <v>37</v>
      </c>
      <c r="I320" t="s">
        <v>46</v>
      </c>
    </row>
    <row r="321" spans="1:9" x14ac:dyDescent="0.25">
      <c r="A321" s="2">
        <v>45491</v>
      </c>
      <c r="B321">
        <v>63</v>
      </c>
      <c r="C321">
        <v>58</v>
      </c>
      <c r="D321">
        <v>524.82369533870565</v>
      </c>
      <c r="E321">
        <v>14</v>
      </c>
      <c r="F321">
        <v>2729.7109229278931</v>
      </c>
      <c r="G321" t="s">
        <v>9</v>
      </c>
      <c r="H321" t="s">
        <v>38</v>
      </c>
      <c r="I321" t="s">
        <v>46</v>
      </c>
    </row>
    <row r="322" spans="1:9" x14ac:dyDescent="0.25">
      <c r="A322" s="2">
        <v>45492</v>
      </c>
      <c r="B322">
        <v>52</v>
      </c>
      <c r="C322">
        <v>61</v>
      </c>
      <c r="D322">
        <v>223.67405087159881</v>
      </c>
      <c r="E322">
        <v>28</v>
      </c>
      <c r="F322">
        <v>3597.8107839248119</v>
      </c>
      <c r="G322" t="s">
        <v>34</v>
      </c>
      <c r="H322" t="s">
        <v>44</v>
      </c>
      <c r="I322" t="s">
        <v>46</v>
      </c>
    </row>
    <row r="323" spans="1:9" x14ac:dyDescent="0.25">
      <c r="A323" s="2">
        <v>45495</v>
      </c>
      <c r="B323">
        <v>50</v>
      </c>
      <c r="C323">
        <v>51</v>
      </c>
      <c r="D323">
        <v>325.27206765504673</v>
      </c>
      <c r="E323">
        <v>32</v>
      </c>
      <c r="F323">
        <v>2456.7230237168578</v>
      </c>
      <c r="G323" t="s">
        <v>18</v>
      </c>
      <c r="H323" t="s">
        <v>36</v>
      </c>
      <c r="I323" t="s">
        <v>46</v>
      </c>
    </row>
    <row r="324" spans="1:9" x14ac:dyDescent="0.25">
      <c r="A324" s="2">
        <v>45496</v>
      </c>
      <c r="B324">
        <v>54</v>
      </c>
      <c r="C324">
        <v>79</v>
      </c>
      <c r="D324">
        <v>164.57970757574751</v>
      </c>
      <c r="E324">
        <v>29</v>
      </c>
      <c r="F324">
        <v>1608.8091495759811</v>
      </c>
      <c r="G324" t="s">
        <v>47</v>
      </c>
      <c r="H324" t="s">
        <v>40</v>
      </c>
      <c r="I324" t="s">
        <v>45</v>
      </c>
    </row>
    <row r="325" spans="1:9" x14ac:dyDescent="0.25">
      <c r="A325" s="2">
        <v>45497</v>
      </c>
      <c r="B325">
        <v>75</v>
      </c>
      <c r="C325">
        <v>24</v>
      </c>
      <c r="D325">
        <v>577.02551362936117</v>
      </c>
      <c r="E325">
        <v>38</v>
      </c>
      <c r="F325">
        <v>4185.9604295338986</v>
      </c>
      <c r="G325" t="s">
        <v>47</v>
      </c>
      <c r="H325" t="s">
        <v>43</v>
      </c>
      <c r="I325" t="s">
        <v>46</v>
      </c>
    </row>
    <row r="326" spans="1:9" x14ac:dyDescent="0.25">
      <c r="A326" s="2">
        <v>45498</v>
      </c>
      <c r="B326">
        <v>63</v>
      </c>
      <c r="C326">
        <v>63</v>
      </c>
      <c r="D326">
        <v>403.08731722544002</v>
      </c>
      <c r="E326">
        <v>26</v>
      </c>
      <c r="F326">
        <v>4097.3714553604068</v>
      </c>
      <c r="G326" t="s">
        <v>47</v>
      </c>
      <c r="H326" t="s">
        <v>35</v>
      </c>
      <c r="I326" t="s">
        <v>46</v>
      </c>
    </row>
    <row r="327" spans="1:9" x14ac:dyDescent="0.25">
      <c r="A327" s="2">
        <v>45499</v>
      </c>
      <c r="B327">
        <v>88</v>
      </c>
      <c r="C327">
        <v>69</v>
      </c>
      <c r="D327">
        <v>214.32140275173131</v>
      </c>
      <c r="E327">
        <v>35</v>
      </c>
      <c r="F327">
        <v>3626.134118844921</v>
      </c>
      <c r="G327" t="s">
        <v>10</v>
      </c>
      <c r="H327" t="s">
        <v>43</v>
      </c>
      <c r="I327" t="s">
        <v>45</v>
      </c>
    </row>
    <row r="328" spans="1:9" x14ac:dyDescent="0.25">
      <c r="A328" s="2">
        <v>45502</v>
      </c>
      <c r="B328">
        <v>76</v>
      </c>
      <c r="C328">
        <v>17</v>
      </c>
      <c r="D328">
        <v>435.85034220292829</v>
      </c>
      <c r="E328">
        <v>28</v>
      </c>
      <c r="F328">
        <v>1724.6531175348321</v>
      </c>
      <c r="G328" t="s">
        <v>12</v>
      </c>
      <c r="H328" t="s">
        <v>43</v>
      </c>
      <c r="I328" t="s">
        <v>45</v>
      </c>
    </row>
    <row r="329" spans="1:9" x14ac:dyDescent="0.25">
      <c r="A329" s="2">
        <v>45503</v>
      </c>
      <c r="B329">
        <v>58</v>
      </c>
      <c r="C329">
        <v>62</v>
      </c>
      <c r="D329">
        <v>409.0641202289479</v>
      </c>
      <c r="E329">
        <v>37</v>
      </c>
      <c r="F329">
        <v>3156.0380009108922</v>
      </c>
      <c r="G329" t="s">
        <v>49</v>
      </c>
      <c r="H329" t="s">
        <v>42</v>
      </c>
      <c r="I329" t="s">
        <v>46</v>
      </c>
    </row>
    <row r="330" spans="1:9" x14ac:dyDescent="0.25">
      <c r="A330" s="2">
        <v>45504</v>
      </c>
      <c r="B330">
        <v>64</v>
      </c>
      <c r="C330">
        <v>69</v>
      </c>
      <c r="D330">
        <v>279.08135901642032</v>
      </c>
      <c r="E330">
        <v>32</v>
      </c>
      <c r="F330">
        <v>2124.38253623012</v>
      </c>
      <c r="G330" t="s">
        <v>48</v>
      </c>
      <c r="H330" t="s">
        <v>36</v>
      </c>
      <c r="I330" t="s">
        <v>46</v>
      </c>
    </row>
    <row r="331" spans="1:9" x14ac:dyDescent="0.25">
      <c r="A331" s="2">
        <v>45505</v>
      </c>
      <c r="B331">
        <v>53</v>
      </c>
      <c r="C331">
        <v>15</v>
      </c>
      <c r="D331">
        <v>379.29</v>
      </c>
      <c r="E331">
        <v>2</v>
      </c>
      <c r="F331">
        <v>3409.69</v>
      </c>
      <c r="G331" t="s">
        <v>11</v>
      </c>
      <c r="H331" t="s">
        <v>41</v>
      </c>
      <c r="I331" t="s">
        <v>46</v>
      </c>
    </row>
    <row r="332" spans="1:9" x14ac:dyDescent="0.25">
      <c r="A332" s="2">
        <v>45505</v>
      </c>
      <c r="B332">
        <v>18</v>
      </c>
      <c r="C332">
        <v>8</v>
      </c>
      <c r="D332">
        <v>82.91</v>
      </c>
      <c r="E332">
        <v>3</v>
      </c>
      <c r="F332">
        <v>1387.86</v>
      </c>
      <c r="G332" t="s">
        <v>12</v>
      </c>
      <c r="H332" t="s">
        <v>43</v>
      </c>
      <c r="I332" t="s">
        <v>45</v>
      </c>
    </row>
    <row r="333" spans="1:9" x14ac:dyDescent="0.25">
      <c r="A333" s="2">
        <v>45505</v>
      </c>
      <c r="B333">
        <v>66</v>
      </c>
      <c r="C333">
        <v>13</v>
      </c>
      <c r="D333">
        <v>376.76</v>
      </c>
      <c r="E333">
        <v>5</v>
      </c>
      <c r="F333">
        <v>3819.73</v>
      </c>
      <c r="G333" t="s">
        <v>10</v>
      </c>
      <c r="H333" t="s">
        <v>42</v>
      </c>
      <c r="I333" t="s">
        <v>46</v>
      </c>
    </row>
    <row r="334" spans="1:9" x14ac:dyDescent="0.25">
      <c r="A334" s="2">
        <v>45505</v>
      </c>
      <c r="B334">
        <v>72</v>
      </c>
      <c r="C334">
        <v>14</v>
      </c>
      <c r="D334">
        <v>437.47</v>
      </c>
      <c r="E334">
        <v>4</v>
      </c>
      <c r="F334">
        <v>958.02</v>
      </c>
      <c r="G334" t="s">
        <v>13</v>
      </c>
      <c r="H334" t="s">
        <v>39</v>
      </c>
      <c r="I334" t="s">
        <v>46</v>
      </c>
    </row>
    <row r="335" spans="1:9" x14ac:dyDescent="0.25">
      <c r="A335" s="2">
        <v>45505</v>
      </c>
      <c r="B335">
        <v>80</v>
      </c>
      <c r="C335">
        <v>13</v>
      </c>
      <c r="D335">
        <v>504.59</v>
      </c>
      <c r="E335">
        <v>0</v>
      </c>
      <c r="F335">
        <v>1265.47</v>
      </c>
      <c r="G335" t="s">
        <v>28</v>
      </c>
      <c r="H335" t="s">
        <v>44</v>
      </c>
      <c r="I335" t="s">
        <v>45</v>
      </c>
    </row>
    <row r="336" spans="1:9" x14ac:dyDescent="0.25">
      <c r="A336" s="2">
        <v>45505</v>
      </c>
      <c r="B336">
        <v>76</v>
      </c>
      <c r="C336">
        <v>21</v>
      </c>
      <c r="D336">
        <v>293.93</v>
      </c>
      <c r="E336">
        <v>2</v>
      </c>
      <c r="F336">
        <v>2531.4</v>
      </c>
      <c r="G336" t="s">
        <v>15</v>
      </c>
      <c r="H336" t="s">
        <v>38</v>
      </c>
      <c r="I336" t="s">
        <v>46</v>
      </c>
    </row>
    <row r="337" spans="1:9" x14ac:dyDescent="0.25">
      <c r="A337" s="2">
        <v>45505</v>
      </c>
      <c r="B337">
        <v>40</v>
      </c>
      <c r="C337">
        <v>17</v>
      </c>
      <c r="D337">
        <v>355.83</v>
      </c>
      <c r="E337">
        <v>6</v>
      </c>
      <c r="F337">
        <v>4155.8599999999997</v>
      </c>
      <c r="G337" t="s">
        <v>34</v>
      </c>
      <c r="H337" t="s">
        <v>43</v>
      </c>
      <c r="I337" t="s">
        <v>45</v>
      </c>
    </row>
    <row r="338" spans="1:9" x14ac:dyDescent="0.25">
      <c r="A338" s="2">
        <v>45505</v>
      </c>
      <c r="B338">
        <v>34</v>
      </c>
      <c r="C338">
        <v>10</v>
      </c>
      <c r="D338">
        <v>565.11</v>
      </c>
      <c r="E338">
        <v>5</v>
      </c>
      <c r="F338">
        <v>222.62</v>
      </c>
      <c r="G338" t="s">
        <v>33</v>
      </c>
      <c r="H338" t="s">
        <v>42</v>
      </c>
      <c r="I338" t="s">
        <v>45</v>
      </c>
    </row>
    <row r="339" spans="1:9" x14ac:dyDescent="0.25">
      <c r="A339" s="2">
        <v>45505</v>
      </c>
      <c r="B339">
        <v>115</v>
      </c>
      <c r="C339">
        <v>17</v>
      </c>
      <c r="D339">
        <v>422.48</v>
      </c>
      <c r="E339">
        <v>0</v>
      </c>
      <c r="F339">
        <v>2681.51</v>
      </c>
      <c r="G339" t="s">
        <v>32</v>
      </c>
      <c r="H339" t="s">
        <v>40</v>
      </c>
      <c r="I339" t="s">
        <v>46</v>
      </c>
    </row>
    <row r="340" spans="1:9" x14ac:dyDescent="0.25">
      <c r="A340" s="2">
        <v>45505</v>
      </c>
      <c r="B340">
        <v>64</v>
      </c>
      <c r="C340">
        <v>7</v>
      </c>
      <c r="D340">
        <v>554.20000000000005</v>
      </c>
      <c r="E340">
        <v>2</v>
      </c>
      <c r="F340">
        <v>3620.9</v>
      </c>
      <c r="G340" t="s">
        <v>14</v>
      </c>
      <c r="H340" t="s">
        <v>41</v>
      </c>
      <c r="I340" t="s">
        <v>46</v>
      </c>
    </row>
    <row r="341" spans="1:9" x14ac:dyDescent="0.25">
      <c r="A341" s="2">
        <v>45505</v>
      </c>
      <c r="B341">
        <v>106</v>
      </c>
      <c r="C341">
        <v>6</v>
      </c>
      <c r="D341">
        <v>572.16</v>
      </c>
      <c r="E341">
        <v>2</v>
      </c>
      <c r="F341">
        <v>3398.37</v>
      </c>
      <c r="G341" t="s">
        <v>30</v>
      </c>
      <c r="H341" t="s">
        <v>41</v>
      </c>
      <c r="I341" t="s">
        <v>46</v>
      </c>
    </row>
    <row r="342" spans="1:9" x14ac:dyDescent="0.25">
      <c r="A342" s="2">
        <v>45505</v>
      </c>
      <c r="B342">
        <v>18</v>
      </c>
      <c r="C342">
        <v>12</v>
      </c>
      <c r="D342">
        <v>262.26</v>
      </c>
      <c r="E342">
        <v>1</v>
      </c>
      <c r="F342">
        <v>1573.7</v>
      </c>
      <c r="G342" t="s">
        <v>29</v>
      </c>
      <c r="H342" t="s">
        <v>42</v>
      </c>
      <c r="I342" t="s">
        <v>46</v>
      </c>
    </row>
    <row r="343" spans="1:9" x14ac:dyDescent="0.25">
      <c r="A343" s="2">
        <v>45505</v>
      </c>
      <c r="B343">
        <v>85</v>
      </c>
      <c r="C343">
        <v>17</v>
      </c>
      <c r="D343">
        <v>187.72</v>
      </c>
      <c r="E343">
        <v>5</v>
      </c>
      <c r="F343">
        <v>443.22</v>
      </c>
      <c r="G343" t="s">
        <v>27</v>
      </c>
      <c r="H343" t="s">
        <v>41</v>
      </c>
      <c r="I343" t="s">
        <v>46</v>
      </c>
    </row>
    <row r="344" spans="1:9" x14ac:dyDescent="0.25">
      <c r="A344" s="2">
        <v>45505</v>
      </c>
      <c r="B344">
        <v>22</v>
      </c>
      <c r="C344">
        <v>14</v>
      </c>
      <c r="D344">
        <v>477.3</v>
      </c>
      <c r="E344">
        <v>6</v>
      </c>
      <c r="F344">
        <v>3790.05</v>
      </c>
      <c r="G344" t="s">
        <v>26</v>
      </c>
      <c r="H344" t="s">
        <v>39</v>
      </c>
      <c r="I344" t="s">
        <v>46</v>
      </c>
    </row>
    <row r="345" spans="1:9" x14ac:dyDescent="0.25">
      <c r="A345" s="2">
        <v>45505</v>
      </c>
      <c r="B345">
        <v>71</v>
      </c>
      <c r="C345">
        <v>6</v>
      </c>
      <c r="D345">
        <v>87.5</v>
      </c>
      <c r="E345">
        <v>3</v>
      </c>
      <c r="F345">
        <v>3666.64</v>
      </c>
      <c r="G345" t="s">
        <v>25</v>
      </c>
      <c r="H345" t="s">
        <v>36</v>
      </c>
      <c r="I345" t="s">
        <v>45</v>
      </c>
    </row>
    <row r="346" spans="1:9" x14ac:dyDescent="0.25">
      <c r="A346" s="2">
        <v>45505</v>
      </c>
      <c r="B346">
        <v>71</v>
      </c>
      <c r="C346">
        <v>9</v>
      </c>
      <c r="D346">
        <v>172.96</v>
      </c>
      <c r="E346">
        <v>6</v>
      </c>
      <c r="F346">
        <v>464.49</v>
      </c>
      <c r="G346" t="s">
        <v>31</v>
      </c>
      <c r="H346" t="s">
        <v>42</v>
      </c>
      <c r="I346" t="s">
        <v>46</v>
      </c>
    </row>
    <row r="347" spans="1:9" x14ac:dyDescent="0.25">
      <c r="A347" s="2">
        <v>45505</v>
      </c>
      <c r="B347">
        <v>73</v>
      </c>
      <c r="C347">
        <v>8</v>
      </c>
      <c r="D347">
        <v>191.76</v>
      </c>
      <c r="E347">
        <v>3</v>
      </c>
      <c r="F347">
        <v>675.97</v>
      </c>
      <c r="G347" t="s">
        <v>23</v>
      </c>
      <c r="H347" t="s">
        <v>39</v>
      </c>
      <c r="I347" t="s">
        <v>45</v>
      </c>
    </row>
    <row r="348" spans="1:9" x14ac:dyDescent="0.25">
      <c r="A348" s="2">
        <v>45505</v>
      </c>
      <c r="B348">
        <v>104</v>
      </c>
      <c r="C348">
        <v>4</v>
      </c>
      <c r="D348">
        <v>169.75</v>
      </c>
      <c r="E348">
        <v>3</v>
      </c>
      <c r="F348">
        <v>1255.83</v>
      </c>
      <c r="G348" t="s">
        <v>24</v>
      </c>
      <c r="H348" t="s">
        <v>39</v>
      </c>
      <c r="I348" t="s">
        <v>45</v>
      </c>
    </row>
    <row r="349" spans="1:9" x14ac:dyDescent="0.25">
      <c r="A349" s="2">
        <v>45505</v>
      </c>
      <c r="B349">
        <v>64</v>
      </c>
      <c r="C349">
        <v>9</v>
      </c>
      <c r="D349">
        <v>255.17</v>
      </c>
      <c r="E349">
        <v>6</v>
      </c>
      <c r="F349">
        <v>4136.6899999999996</v>
      </c>
      <c r="G349" t="s">
        <v>16</v>
      </c>
      <c r="H349" t="s">
        <v>39</v>
      </c>
      <c r="I349" t="s">
        <v>46</v>
      </c>
    </row>
    <row r="350" spans="1:9" x14ac:dyDescent="0.25">
      <c r="A350" s="2">
        <v>45505</v>
      </c>
      <c r="B350">
        <v>26</v>
      </c>
      <c r="C350">
        <v>17</v>
      </c>
      <c r="D350">
        <v>391.73</v>
      </c>
      <c r="E350">
        <v>7</v>
      </c>
      <c r="F350">
        <v>1166.55</v>
      </c>
      <c r="G350" t="s">
        <v>17</v>
      </c>
      <c r="H350" t="s">
        <v>37</v>
      </c>
      <c r="I350" t="s">
        <v>45</v>
      </c>
    </row>
    <row r="351" spans="1:9" x14ac:dyDescent="0.25">
      <c r="A351" s="2">
        <v>45505</v>
      </c>
      <c r="B351">
        <v>65</v>
      </c>
      <c r="C351">
        <v>13</v>
      </c>
      <c r="D351">
        <v>324.26</v>
      </c>
      <c r="E351">
        <v>7</v>
      </c>
      <c r="F351">
        <v>1044.8599999999999</v>
      </c>
      <c r="G351" t="s">
        <v>18</v>
      </c>
      <c r="H351" t="s">
        <v>41</v>
      </c>
      <c r="I351" t="s">
        <v>45</v>
      </c>
    </row>
    <row r="352" spans="1:9" x14ac:dyDescent="0.25">
      <c r="A352" s="2">
        <v>45505</v>
      </c>
      <c r="B352">
        <v>71</v>
      </c>
      <c r="C352">
        <v>15</v>
      </c>
      <c r="D352">
        <v>297.05</v>
      </c>
      <c r="E352">
        <v>6</v>
      </c>
      <c r="F352">
        <v>4043.62</v>
      </c>
      <c r="G352" t="s">
        <v>9</v>
      </c>
      <c r="H352" t="s">
        <v>38</v>
      </c>
      <c r="I352" t="s">
        <v>46</v>
      </c>
    </row>
    <row r="353" spans="1:9" x14ac:dyDescent="0.25">
      <c r="A353" s="2">
        <v>45505</v>
      </c>
      <c r="B353">
        <v>30</v>
      </c>
      <c r="C353">
        <v>6</v>
      </c>
      <c r="D353">
        <v>549.26</v>
      </c>
      <c r="E353">
        <v>2</v>
      </c>
      <c r="F353">
        <v>3868.36</v>
      </c>
      <c r="G353" t="s">
        <v>20</v>
      </c>
      <c r="H353" t="s">
        <v>38</v>
      </c>
      <c r="I353" t="s">
        <v>46</v>
      </c>
    </row>
    <row r="354" spans="1:9" x14ac:dyDescent="0.25">
      <c r="A354" s="2">
        <v>45505</v>
      </c>
      <c r="B354">
        <v>83</v>
      </c>
      <c r="C354">
        <v>15</v>
      </c>
      <c r="D354">
        <v>601.05999999999995</v>
      </c>
      <c r="E354">
        <v>3</v>
      </c>
      <c r="F354">
        <v>350.62</v>
      </c>
      <c r="G354" t="s">
        <v>21</v>
      </c>
      <c r="H354" t="s">
        <v>38</v>
      </c>
      <c r="I354" t="s">
        <v>45</v>
      </c>
    </row>
    <row r="355" spans="1:9" x14ac:dyDescent="0.25">
      <c r="A355" s="2">
        <v>45505</v>
      </c>
      <c r="B355">
        <v>35</v>
      </c>
      <c r="C355">
        <v>6</v>
      </c>
      <c r="D355">
        <v>192.19</v>
      </c>
      <c r="E355">
        <v>1</v>
      </c>
      <c r="F355">
        <v>3963.32</v>
      </c>
      <c r="G355" t="s">
        <v>22</v>
      </c>
      <c r="H355" t="s">
        <v>42</v>
      </c>
      <c r="I355" t="s">
        <v>45</v>
      </c>
    </row>
    <row r="356" spans="1:9" x14ac:dyDescent="0.25">
      <c r="A356" s="2">
        <v>45505</v>
      </c>
      <c r="B356">
        <v>22</v>
      </c>
      <c r="C356">
        <v>9</v>
      </c>
      <c r="D356">
        <v>211.28</v>
      </c>
      <c r="E356">
        <v>8</v>
      </c>
      <c r="F356">
        <v>772.77</v>
      </c>
      <c r="G356" t="s">
        <v>19</v>
      </c>
      <c r="H356" t="s">
        <v>35</v>
      </c>
      <c r="I356" t="s">
        <v>45</v>
      </c>
    </row>
    <row r="357" spans="1:9" x14ac:dyDescent="0.25">
      <c r="A357" s="2">
        <v>45506</v>
      </c>
      <c r="B357">
        <v>64</v>
      </c>
      <c r="C357">
        <v>14</v>
      </c>
      <c r="D357">
        <v>156.77879609981451</v>
      </c>
      <c r="E357">
        <v>36</v>
      </c>
      <c r="F357">
        <v>912.11932996985365</v>
      </c>
      <c r="G357" t="s">
        <v>10</v>
      </c>
      <c r="H357" t="s">
        <v>42</v>
      </c>
      <c r="I357" t="s">
        <v>45</v>
      </c>
    </row>
    <row r="358" spans="1:9" x14ac:dyDescent="0.25">
      <c r="A358" s="2">
        <v>45509</v>
      </c>
      <c r="B358">
        <v>75</v>
      </c>
      <c r="C358">
        <v>77</v>
      </c>
      <c r="D358">
        <v>435.7865977963998</v>
      </c>
      <c r="E358">
        <v>26</v>
      </c>
      <c r="F358">
        <v>4627.9110895800923</v>
      </c>
      <c r="G358" t="s">
        <v>10</v>
      </c>
      <c r="H358" t="s">
        <v>36</v>
      </c>
      <c r="I358" t="s">
        <v>46</v>
      </c>
    </row>
    <row r="359" spans="1:9" x14ac:dyDescent="0.25">
      <c r="A359" s="2">
        <v>45510</v>
      </c>
      <c r="B359">
        <v>91</v>
      </c>
      <c r="C359">
        <v>15</v>
      </c>
      <c r="D359">
        <v>360.15385045189657</v>
      </c>
      <c r="E359">
        <v>32</v>
      </c>
      <c r="F359">
        <v>1115.683839135326</v>
      </c>
      <c r="G359" t="s">
        <v>9</v>
      </c>
      <c r="H359" t="s">
        <v>38</v>
      </c>
      <c r="I359" t="s">
        <v>45</v>
      </c>
    </row>
    <row r="360" spans="1:9" x14ac:dyDescent="0.25">
      <c r="A360" s="2">
        <v>45511</v>
      </c>
      <c r="B360">
        <v>62</v>
      </c>
      <c r="C360">
        <v>56</v>
      </c>
      <c r="D360">
        <v>486.15919586781968</v>
      </c>
      <c r="E360">
        <v>3</v>
      </c>
      <c r="F360">
        <v>4776.0680921936109</v>
      </c>
      <c r="G360" t="s">
        <v>18</v>
      </c>
      <c r="H360" t="s">
        <v>38</v>
      </c>
      <c r="I360" t="s">
        <v>45</v>
      </c>
    </row>
    <row r="361" spans="1:9" x14ac:dyDescent="0.25">
      <c r="A361" s="2">
        <v>45512</v>
      </c>
      <c r="B361">
        <v>81</v>
      </c>
      <c r="C361">
        <v>64</v>
      </c>
      <c r="D361">
        <v>360.08175055599668</v>
      </c>
      <c r="E361">
        <v>21</v>
      </c>
      <c r="F361">
        <v>2507.0259783108008</v>
      </c>
      <c r="G361" t="s">
        <v>10</v>
      </c>
      <c r="H361" t="s">
        <v>40</v>
      </c>
      <c r="I361" t="s">
        <v>45</v>
      </c>
    </row>
    <row r="362" spans="1:9" x14ac:dyDescent="0.25">
      <c r="A362" s="2">
        <v>45513</v>
      </c>
      <c r="B362">
        <v>88</v>
      </c>
      <c r="C362">
        <v>49</v>
      </c>
      <c r="D362">
        <v>526.0907501592701</v>
      </c>
      <c r="E362">
        <v>1</v>
      </c>
      <c r="F362">
        <v>1333.0981797737879</v>
      </c>
      <c r="G362" t="s">
        <v>34</v>
      </c>
      <c r="H362" t="s">
        <v>36</v>
      </c>
      <c r="I362" t="s">
        <v>45</v>
      </c>
    </row>
    <row r="363" spans="1:9" x14ac:dyDescent="0.25">
      <c r="A363" s="2">
        <v>45516</v>
      </c>
      <c r="B363">
        <v>98</v>
      </c>
      <c r="C363">
        <v>61</v>
      </c>
      <c r="D363">
        <v>375.95341938724277</v>
      </c>
      <c r="E363">
        <v>9</v>
      </c>
      <c r="F363">
        <v>2938.5542632026122</v>
      </c>
      <c r="G363" t="s">
        <v>18</v>
      </c>
      <c r="H363" t="s">
        <v>37</v>
      </c>
      <c r="I363" t="s">
        <v>46</v>
      </c>
    </row>
    <row r="364" spans="1:9" x14ac:dyDescent="0.25">
      <c r="A364" s="2">
        <v>45517</v>
      </c>
      <c r="B364">
        <v>81</v>
      </c>
      <c r="C364">
        <v>25</v>
      </c>
      <c r="D364">
        <v>380.46898576769308</v>
      </c>
      <c r="E364">
        <v>4</v>
      </c>
      <c r="F364">
        <v>4428.2562614438384</v>
      </c>
      <c r="G364" t="s">
        <v>34</v>
      </c>
      <c r="H364" t="s">
        <v>44</v>
      </c>
      <c r="I364" t="s">
        <v>45</v>
      </c>
    </row>
    <row r="365" spans="1:9" x14ac:dyDescent="0.25">
      <c r="A365" s="2">
        <v>45518</v>
      </c>
      <c r="B365">
        <v>53</v>
      </c>
      <c r="C365">
        <v>22</v>
      </c>
      <c r="D365">
        <v>538.32680132917244</v>
      </c>
      <c r="E365">
        <v>9</v>
      </c>
      <c r="F365">
        <v>3795.0119888430249</v>
      </c>
      <c r="G365" t="s">
        <v>12</v>
      </c>
      <c r="H365" t="s">
        <v>40</v>
      </c>
      <c r="I365" t="s">
        <v>45</v>
      </c>
    </row>
    <row r="366" spans="1:9" x14ac:dyDescent="0.25">
      <c r="A366" s="2">
        <v>45519</v>
      </c>
      <c r="B366">
        <v>79</v>
      </c>
      <c r="C366">
        <v>39</v>
      </c>
      <c r="D366">
        <v>301.74143310619849</v>
      </c>
      <c r="E366">
        <v>32</v>
      </c>
      <c r="F366">
        <v>4129.5251653765235</v>
      </c>
      <c r="G366" t="s">
        <v>49</v>
      </c>
      <c r="H366" t="s">
        <v>40</v>
      </c>
      <c r="I366" t="s">
        <v>46</v>
      </c>
    </row>
    <row r="367" spans="1:9" x14ac:dyDescent="0.25">
      <c r="A367" s="2">
        <v>45520</v>
      </c>
      <c r="B367">
        <v>86</v>
      </c>
      <c r="C367">
        <v>28</v>
      </c>
      <c r="D367">
        <v>167.0076142253204</v>
      </c>
      <c r="E367">
        <v>37</v>
      </c>
      <c r="F367">
        <v>3464.5251501982279</v>
      </c>
      <c r="G367" t="s">
        <v>47</v>
      </c>
      <c r="H367" t="s">
        <v>37</v>
      </c>
      <c r="I367" t="s">
        <v>45</v>
      </c>
    </row>
    <row r="368" spans="1:9" x14ac:dyDescent="0.25">
      <c r="A368" s="2">
        <v>45523</v>
      </c>
      <c r="B368">
        <v>72</v>
      </c>
      <c r="C368">
        <v>26</v>
      </c>
      <c r="D368">
        <v>114.39133815666951</v>
      </c>
      <c r="E368">
        <v>12</v>
      </c>
      <c r="F368">
        <v>3615.2445403303359</v>
      </c>
      <c r="G368" t="s">
        <v>10</v>
      </c>
      <c r="H368" t="s">
        <v>44</v>
      </c>
      <c r="I368" t="s">
        <v>46</v>
      </c>
    </row>
    <row r="369" spans="1:9" x14ac:dyDescent="0.25">
      <c r="A369" s="2">
        <v>45524</v>
      </c>
      <c r="B369">
        <v>88</v>
      </c>
      <c r="C369">
        <v>72</v>
      </c>
      <c r="D369">
        <v>477.56862783680953</v>
      </c>
      <c r="E369">
        <v>30</v>
      </c>
      <c r="F369">
        <v>4321.3804320439367</v>
      </c>
      <c r="G369" t="s">
        <v>49</v>
      </c>
      <c r="H369" t="s">
        <v>42</v>
      </c>
      <c r="I369" t="s">
        <v>46</v>
      </c>
    </row>
    <row r="370" spans="1:9" x14ac:dyDescent="0.25">
      <c r="A370" s="2">
        <v>45525</v>
      </c>
      <c r="B370">
        <v>94</v>
      </c>
      <c r="C370">
        <v>28</v>
      </c>
      <c r="D370">
        <v>410.15477567673241</v>
      </c>
      <c r="E370">
        <v>35</v>
      </c>
      <c r="F370">
        <v>1623.506039866337</v>
      </c>
      <c r="G370" t="s">
        <v>12</v>
      </c>
      <c r="H370" t="s">
        <v>44</v>
      </c>
      <c r="I370" t="s">
        <v>46</v>
      </c>
    </row>
    <row r="371" spans="1:9" x14ac:dyDescent="0.25">
      <c r="A371" s="2">
        <v>45526</v>
      </c>
      <c r="B371">
        <v>64</v>
      </c>
      <c r="C371">
        <v>67</v>
      </c>
      <c r="D371">
        <v>452.03988404961183</v>
      </c>
      <c r="E371">
        <v>23</v>
      </c>
      <c r="F371">
        <v>2702.4123363941321</v>
      </c>
      <c r="G371" t="s">
        <v>48</v>
      </c>
      <c r="H371" t="s">
        <v>42</v>
      </c>
      <c r="I371" t="s">
        <v>45</v>
      </c>
    </row>
    <row r="372" spans="1:9" x14ac:dyDescent="0.25">
      <c r="A372" s="2">
        <v>45527</v>
      </c>
      <c r="B372">
        <v>92</v>
      </c>
      <c r="C372">
        <v>64</v>
      </c>
      <c r="D372">
        <v>206.48208075445541</v>
      </c>
      <c r="E372">
        <v>14</v>
      </c>
      <c r="F372">
        <v>1495.4424881882101</v>
      </c>
      <c r="G372" t="s">
        <v>48</v>
      </c>
      <c r="H372" t="s">
        <v>38</v>
      </c>
      <c r="I372" t="s">
        <v>46</v>
      </c>
    </row>
    <row r="373" spans="1:9" x14ac:dyDescent="0.25">
      <c r="A373" s="2">
        <v>45530</v>
      </c>
      <c r="B373">
        <v>78</v>
      </c>
      <c r="C373">
        <v>71</v>
      </c>
      <c r="D373">
        <v>168.1857377933849</v>
      </c>
      <c r="E373">
        <v>28</v>
      </c>
      <c r="F373">
        <v>4944.5060359849113</v>
      </c>
      <c r="G373" t="s">
        <v>12</v>
      </c>
      <c r="H373" t="s">
        <v>43</v>
      </c>
      <c r="I373" t="s">
        <v>46</v>
      </c>
    </row>
    <row r="374" spans="1:9" x14ac:dyDescent="0.25">
      <c r="A374" s="2">
        <v>45531</v>
      </c>
      <c r="B374">
        <v>85</v>
      </c>
      <c r="C374">
        <v>32</v>
      </c>
      <c r="D374">
        <v>107.27233283394099</v>
      </c>
      <c r="E374">
        <v>7</v>
      </c>
      <c r="F374">
        <v>4748.2670285897593</v>
      </c>
      <c r="G374" t="s">
        <v>34</v>
      </c>
      <c r="H374" t="s">
        <v>38</v>
      </c>
      <c r="I374" t="s">
        <v>45</v>
      </c>
    </row>
    <row r="375" spans="1:9" x14ac:dyDescent="0.25">
      <c r="A375" s="2">
        <v>45532</v>
      </c>
      <c r="B375">
        <v>62</v>
      </c>
      <c r="C375">
        <v>18</v>
      </c>
      <c r="D375">
        <v>275.29377940329852</v>
      </c>
      <c r="E375">
        <v>4</v>
      </c>
      <c r="F375">
        <v>677.42065115827654</v>
      </c>
      <c r="G375" t="s">
        <v>9</v>
      </c>
      <c r="H375" t="s">
        <v>38</v>
      </c>
      <c r="I375" t="s">
        <v>46</v>
      </c>
    </row>
    <row r="376" spans="1:9" x14ac:dyDescent="0.25">
      <c r="A376" s="2">
        <v>45533</v>
      </c>
      <c r="B376">
        <v>81</v>
      </c>
      <c r="C376">
        <v>21</v>
      </c>
      <c r="D376">
        <v>394.95884342731648</v>
      </c>
      <c r="E376">
        <v>28</v>
      </c>
      <c r="F376">
        <v>3675.0882763205982</v>
      </c>
      <c r="G376" t="s">
        <v>9</v>
      </c>
      <c r="H376" t="s">
        <v>43</v>
      </c>
      <c r="I376" t="s">
        <v>46</v>
      </c>
    </row>
    <row r="377" spans="1:9" x14ac:dyDescent="0.25">
      <c r="A377" s="2">
        <v>45534</v>
      </c>
      <c r="B377">
        <v>56</v>
      </c>
      <c r="C377">
        <v>10</v>
      </c>
      <c r="D377">
        <v>296.12202254986619</v>
      </c>
      <c r="E377">
        <v>3</v>
      </c>
      <c r="F377">
        <v>4663.6174283704959</v>
      </c>
      <c r="G377" t="s">
        <v>34</v>
      </c>
      <c r="H377" t="s">
        <v>44</v>
      </c>
      <c r="I377" t="s">
        <v>46</v>
      </c>
    </row>
    <row r="378" spans="1:9" x14ac:dyDescent="0.25">
      <c r="A378" s="2">
        <v>45536</v>
      </c>
      <c r="B378">
        <v>37</v>
      </c>
      <c r="C378">
        <v>8</v>
      </c>
      <c r="D378">
        <v>215.09</v>
      </c>
      <c r="E378">
        <v>2</v>
      </c>
      <c r="F378">
        <v>3424.83</v>
      </c>
      <c r="G378" t="s">
        <v>22</v>
      </c>
      <c r="H378" t="s">
        <v>41</v>
      </c>
      <c r="I378" t="s">
        <v>45</v>
      </c>
    </row>
    <row r="379" spans="1:9" x14ac:dyDescent="0.25">
      <c r="A379" s="2">
        <v>45536</v>
      </c>
      <c r="B379">
        <v>87</v>
      </c>
      <c r="C379">
        <v>21</v>
      </c>
      <c r="D379">
        <v>633.13</v>
      </c>
      <c r="E379">
        <v>2</v>
      </c>
      <c r="F379">
        <v>336.22</v>
      </c>
      <c r="G379" t="s">
        <v>21</v>
      </c>
      <c r="H379" t="s">
        <v>42</v>
      </c>
      <c r="I379" t="s">
        <v>46</v>
      </c>
    </row>
    <row r="380" spans="1:9" x14ac:dyDescent="0.25">
      <c r="A380" s="2">
        <v>45536</v>
      </c>
      <c r="B380">
        <v>38</v>
      </c>
      <c r="C380">
        <v>6</v>
      </c>
      <c r="D380">
        <v>553.89</v>
      </c>
      <c r="E380">
        <v>6</v>
      </c>
      <c r="F380">
        <v>4013.79</v>
      </c>
      <c r="G380" t="s">
        <v>20</v>
      </c>
      <c r="H380" t="s">
        <v>44</v>
      </c>
      <c r="I380" t="s">
        <v>46</v>
      </c>
    </row>
    <row r="381" spans="1:9" x14ac:dyDescent="0.25">
      <c r="A381" s="2">
        <v>45536</v>
      </c>
      <c r="B381">
        <v>22</v>
      </c>
      <c r="C381">
        <v>7</v>
      </c>
      <c r="D381">
        <v>182.47</v>
      </c>
      <c r="E381">
        <v>7</v>
      </c>
      <c r="F381">
        <v>779.86</v>
      </c>
      <c r="G381" t="s">
        <v>19</v>
      </c>
      <c r="H381" t="s">
        <v>36</v>
      </c>
      <c r="I381" t="s">
        <v>46</v>
      </c>
    </row>
    <row r="382" spans="1:9" x14ac:dyDescent="0.25">
      <c r="A382" s="2">
        <v>45536</v>
      </c>
      <c r="B382">
        <v>57</v>
      </c>
      <c r="C382">
        <v>7</v>
      </c>
      <c r="D382">
        <v>262.27999999999997</v>
      </c>
      <c r="E382">
        <v>7</v>
      </c>
      <c r="F382">
        <v>3929.11</v>
      </c>
      <c r="G382" t="s">
        <v>16</v>
      </c>
      <c r="H382" t="s">
        <v>36</v>
      </c>
      <c r="I382" t="s">
        <v>46</v>
      </c>
    </row>
    <row r="383" spans="1:9" x14ac:dyDescent="0.25">
      <c r="A383" s="2">
        <v>45536</v>
      </c>
      <c r="B383">
        <v>26</v>
      </c>
      <c r="C383">
        <v>21</v>
      </c>
      <c r="D383">
        <v>359.51</v>
      </c>
      <c r="E383">
        <v>9</v>
      </c>
      <c r="F383">
        <v>1187.3699999999999</v>
      </c>
      <c r="G383" t="s">
        <v>17</v>
      </c>
      <c r="H383" t="s">
        <v>43</v>
      </c>
      <c r="I383" t="s">
        <v>45</v>
      </c>
    </row>
    <row r="384" spans="1:9" x14ac:dyDescent="0.25">
      <c r="A384" s="2">
        <v>45536</v>
      </c>
      <c r="B384">
        <v>71</v>
      </c>
      <c r="C384">
        <v>8</v>
      </c>
      <c r="D384">
        <v>199.19</v>
      </c>
      <c r="E384">
        <v>2</v>
      </c>
      <c r="F384">
        <v>635.24</v>
      </c>
      <c r="G384" t="s">
        <v>23</v>
      </c>
      <c r="H384" t="s">
        <v>35</v>
      </c>
      <c r="I384" t="s">
        <v>46</v>
      </c>
    </row>
    <row r="385" spans="1:9" x14ac:dyDescent="0.25">
      <c r="A385" s="2">
        <v>45536</v>
      </c>
      <c r="B385">
        <v>74</v>
      </c>
      <c r="C385">
        <v>18</v>
      </c>
      <c r="D385">
        <v>306.89999999999998</v>
      </c>
      <c r="E385">
        <v>3</v>
      </c>
      <c r="F385">
        <v>2254.16</v>
      </c>
      <c r="G385" t="s">
        <v>15</v>
      </c>
      <c r="H385" t="s">
        <v>38</v>
      </c>
      <c r="I385" t="s">
        <v>46</v>
      </c>
    </row>
    <row r="386" spans="1:9" x14ac:dyDescent="0.25">
      <c r="A386" s="2">
        <v>45536</v>
      </c>
      <c r="B386">
        <v>76</v>
      </c>
      <c r="C386">
        <v>18</v>
      </c>
      <c r="D386">
        <v>339.1</v>
      </c>
      <c r="E386">
        <v>8</v>
      </c>
      <c r="F386">
        <v>924.79</v>
      </c>
      <c r="G386" t="s">
        <v>18</v>
      </c>
      <c r="H386" t="s">
        <v>39</v>
      </c>
      <c r="I386" t="s">
        <v>45</v>
      </c>
    </row>
    <row r="387" spans="1:9" x14ac:dyDescent="0.25">
      <c r="A387" s="2">
        <v>45536</v>
      </c>
      <c r="B387">
        <v>81</v>
      </c>
      <c r="C387">
        <v>5</v>
      </c>
      <c r="D387">
        <v>153.5</v>
      </c>
      <c r="E387">
        <v>2</v>
      </c>
      <c r="F387">
        <v>1307.47</v>
      </c>
      <c r="G387" t="s">
        <v>24</v>
      </c>
      <c r="H387" t="s">
        <v>41</v>
      </c>
      <c r="I387" t="s">
        <v>46</v>
      </c>
    </row>
    <row r="388" spans="1:9" x14ac:dyDescent="0.25">
      <c r="A388" s="2">
        <v>45536</v>
      </c>
      <c r="B388">
        <v>72</v>
      </c>
      <c r="C388">
        <v>11</v>
      </c>
      <c r="D388">
        <v>459.86</v>
      </c>
      <c r="E388">
        <v>0</v>
      </c>
      <c r="F388">
        <v>1269.5999999999999</v>
      </c>
      <c r="G388" t="s">
        <v>28</v>
      </c>
      <c r="H388" t="s">
        <v>40</v>
      </c>
      <c r="I388" t="s">
        <v>45</v>
      </c>
    </row>
    <row r="389" spans="1:9" x14ac:dyDescent="0.25">
      <c r="A389" s="2">
        <v>45536</v>
      </c>
      <c r="B389">
        <v>21</v>
      </c>
      <c r="C389">
        <v>17</v>
      </c>
      <c r="D389">
        <v>533.41999999999996</v>
      </c>
      <c r="E389">
        <v>7</v>
      </c>
      <c r="F389">
        <v>3895.32</v>
      </c>
      <c r="G389" t="s">
        <v>26</v>
      </c>
      <c r="H389" t="s">
        <v>37</v>
      </c>
      <c r="I389" t="s">
        <v>45</v>
      </c>
    </row>
    <row r="390" spans="1:9" x14ac:dyDescent="0.25">
      <c r="A390" s="2">
        <v>45536</v>
      </c>
      <c r="B390">
        <v>86</v>
      </c>
      <c r="C390">
        <v>17</v>
      </c>
      <c r="D390">
        <v>160.88999999999999</v>
      </c>
      <c r="E390">
        <v>4</v>
      </c>
      <c r="F390">
        <v>418.33</v>
      </c>
      <c r="G390" t="s">
        <v>27</v>
      </c>
      <c r="H390" t="s">
        <v>36</v>
      </c>
      <c r="I390" t="s">
        <v>46</v>
      </c>
    </row>
    <row r="391" spans="1:9" x14ac:dyDescent="0.25">
      <c r="A391" s="2">
        <v>45536</v>
      </c>
      <c r="B391">
        <v>69</v>
      </c>
      <c r="C391">
        <v>7</v>
      </c>
      <c r="D391">
        <v>549.77</v>
      </c>
      <c r="E391">
        <v>2</v>
      </c>
      <c r="F391">
        <v>3916.58</v>
      </c>
      <c r="G391" t="s">
        <v>14</v>
      </c>
      <c r="H391" t="s">
        <v>41</v>
      </c>
      <c r="I391" t="s">
        <v>45</v>
      </c>
    </row>
    <row r="392" spans="1:9" x14ac:dyDescent="0.25">
      <c r="A392" s="2">
        <v>45536</v>
      </c>
      <c r="B392">
        <v>18</v>
      </c>
      <c r="C392">
        <v>13</v>
      </c>
      <c r="D392">
        <v>290.14</v>
      </c>
      <c r="E392">
        <v>2</v>
      </c>
      <c r="F392">
        <v>1444.65</v>
      </c>
      <c r="G392" t="s">
        <v>29</v>
      </c>
      <c r="H392" t="s">
        <v>44</v>
      </c>
      <c r="I392" t="s">
        <v>46</v>
      </c>
    </row>
    <row r="393" spans="1:9" x14ac:dyDescent="0.25">
      <c r="A393" s="2">
        <v>45536</v>
      </c>
      <c r="B393">
        <v>105</v>
      </c>
      <c r="C393">
        <v>7</v>
      </c>
      <c r="D393">
        <v>587.83000000000004</v>
      </c>
      <c r="E393">
        <v>1</v>
      </c>
      <c r="F393">
        <v>3601.93</v>
      </c>
      <c r="G393" t="s">
        <v>30</v>
      </c>
      <c r="H393" t="s">
        <v>39</v>
      </c>
      <c r="I393" t="s">
        <v>45</v>
      </c>
    </row>
    <row r="394" spans="1:9" x14ac:dyDescent="0.25">
      <c r="A394" s="2">
        <v>45536</v>
      </c>
      <c r="B394">
        <v>75</v>
      </c>
      <c r="C394">
        <v>8</v>
      </c>
      <c r="D394">
        <v>177.88</v>
      </c>
      <c r="E394">
        <v>7</v>
      </c>
      <c r="F394">
        <v>507.1</v>
      </c>
      <c r="G394" t="s">
        <v>31</v>
      </c>
      <c r="H394" t="s">
        <v>44</v>
      </c>
      <c r="I394" t="s">
        <v>45</v>
      </c>
    </row>
    <row r="395" spans="1:9" x14ac:dyDescent="0.25">
      <c r="A395" s="2">
        <v>45536</v>
      </c>
      <c r="B395">
        <v>98</v>
      </c>
      <c r="C395">
        <v>12</v>
      </c>
      <c r="D395">
        <v>406.95</v>
      </c>
      <c r="E395">
        <v>0</v>
      </c>
      <c r="F395">
        <v>2978.09</v>
      </c>
      <c r="G395" t="s">
        <v>32</v>
      </c>
      <c r="H395" t="s">
        <v>38</v>
      </c>
      <c r="I395" t="s">
        <v>45</v>
      </c>
    </row>
    <row r="396" spans="1:9" x14ac:dyDescent="0.25">
      <c r="A396" s="2">
        <v>45536</v>
      </c>
      <c r="B396">
        <v>33</v>
      </c>
      <c r="C396">
        <v>13</v>
      </c>
      <c r="D396">
        <v>517.1</v>
      </c>
      <c r="E396">
        <v>4</v>
      </c>
      <c r="F396">
        <v>250.08</v>
      </c>
      <c r="G396" t="s">
        <v>33</v>
      </c>
      <c r="H396" t="s">
        <v>43</v>
      </c>
      <c r="I396" t="s">
        <v>45</v>
      </c>
    </row>
    <row r="397" spans="1:9" x14ac:dyDescent="0.25">
      <c r="A397" s="2">
        <v>45536</v>
      </c>
      <c r="B397">
        <v>35</v>
      </c>
      <c r="C397">
        <v>18</v>
      </c>
      <c r="D397">
        <v>348.92</v>
      </c>
      <c r="E397">
        <v>7</v>
      </c>
      <c r="F397">
        <v>4381.3900000000003</v>
      </c>
      <c r="G397" t="s">
        <v>34</v>
      </c>
      <c r="H397" t="s">
        <v>36</v>
      </c>
      <c r="I397" t="s">
        <v>45</v>
      </c>
    </row>
    <row r="398" spans="1:9" x14ac:dyDescent="0.25">
      <c r="A398" s="2">
        <v>45536</v>
      </c>
      <c r="B398">
        <v>93</v>
      </c>
      <c r="C398">
        <v>5</v>
      </c>
      <c r="D398">
        <v>77.12</v>
      </c>
      <c r="E398">
        <v>2</v>
      </c>
      <c r="F398">
        <v>3483.91</v>
      </c>
      <c r="G398" t="s">
        <v>25</v>
      </c>
      <c r="H398" t="s">
        <v>39</v>
      </c>
      <c r="I398" t="s">
        <v>45</v>
      </c>
    </row>
    <row r="399" spans="1:9" x14ac:dyDescent="0.25">
      <c r="A399" s="2">
        <v>45536</v>
      </c>
      <c r="B399">
        <v>77</v>
      </c>
      <c r="C399">
        <v>11</v>
      </c>
      <c r="D399">
        <v>487.47</v>
      </c>
      <c r="E399">
        <v>4</v>
      </c>
      <c r="F399">
        <v>990.89</v>
      </c>
      <c r="G399" t="s">
        <v>13</v>
      </c>
      <c r="H399" t="s">
        <v>40</v>
      </c>
      <c r="I399" t="s">
        <v>46</v>
      </c>
    </row>
    <row r="400" spans="1:9" x14ac:dyDescent="0.25">
      <c r="A400" s="2">
        <v>45536</v>
      </c>
      <c r="B400">
        <v>24</v>
      </c>
      <c r="C400">
        <v>7</v>
      </c>
      <c r="D400">
        <v>79.62</v>
      </c>
      <c r="E400">
        <v>4</v>
      </c>
      <c r="F400">
        <v>1650.69</v>
      </c>
      <c r="G400" t="s">
        <v>12</v>
      </c>
      <c r="H400" t="s">
        <v>37</v>
      </c>
      <c r="I400" t="s">
        <v>46</v>
      </c>
    </row>
    <row r="401" spans="1:9" x14ac:dyDescent="0.25">
      <c r="A401" s="2">
        <v>45536</v>
      </c>
      <c r="B401">
        <v>79</v>
      </c>
      <c r="C401">
        <v>9</v>
      </c>
      <c r="D401">
        <v>358.67</v>
      </c>
      <c r="E401">
        <v>5</v>
      </c>
      <c r="F401">
        <v>3658.64</v>
      </c>
      <c r="G401" t="s">
        <v>10</v>
      </c>
      <c r="H401" t="s">
        <v>40</v>
      </c>
      <c r="I401" t="s">
        <v>45</v>
      </c>
    </row>
    <row r="402" spans="1:9" x14ac:dyDescent="0.25">
      <c r="A402" s="2">
        <v>45536</v>
      </c>
      <c r="B402">
        <v>51</v>
      </c>
      <c r="C402">
        <v>15</v>
      </c>
      <c r="D402">
        <v>349.71</v>
      </c>
      <c r="E402">
        <v>8</v>
      </c>
      <c r="F402">
        <v>4017.54</v>
      </c>
      <c r="G402" t="s">
        <v>9</v>
      </c>
      <c r="H402" t="s">
        <v>37</v>
      </c>
      <c r="I402" t="s">
        <v>46</v>
      </c>
    </row>
    <row r="403" spans="1:9" x14ac:dyDescent="0.25">
      <c r="A403" s="2">
        <v>45536</v>
      </c>
      <c r="B403">
        <v>57</v>
      </c>
      <c r="C403">
        <v>18</v>
      </c>
      <c r="D403">
        <v>403.41</v>
      </c>
      <c r="E403">
        <v>3</v>
      </c>
      <c r="F403">
        <v>3767.63</v>
      </c>
      <c r="G403" t="s">
        <v>11</v>
      </c>
      <c r="H403" t="s">
        <v>41</v>
      </c>
      <c r="I403" t="s">
        <v>46</v>
      </c>
    </row>
    <row r="404" spans="1:9" x14ac:dyDescent="0.25">
      <c r="A404" s="2">
        <v>45537</v>
      </c>
      <c r="B404">
        <v>71</v>
      </c>
      <c r="C404">
        <v>67</v>
      </c>
      <c r="D404">
        <v>318.73746101186453</v>
      </c>
      <c r="E404">
        <v>11</v>
      </c>
      <c r="F404">
        <v>1312.589053073001</v>
      </c>
      <c r="G404" t="s">
        <v>48</v>
      </c>
      <c r="H404" t="s">
        <v>40</v>
      </c>
      <c r="I404" t="s">
        <v>46</v>
      </c>
    </row>
    <row r="405" spans="1:9" x14ac:dyDescent="0.25">
      <c r="A405" s="2">
        <v>45538</v>
      </c>
      <c r="B405">
        <v>77</v>
      </c>
      <c r="C405">
        <v>10</v>
      </c>
      <c r="D405">
        <v>552.07934724687425</v>
      </c>
      <c r="E405">
        <v>1</v>
      </c>
      <c r="F405">
        <v>3055.753537486833</v>
      </c>
      <c r="G405" t="s">
        <v>48</v>
      </c>
      <c r="H405" t="s">
        <v>44</v>
      </c>
      <c r="I405" t="s">
        <v>46</v>
      </c>
    </row>
    <row r="406" spans="1:9" x14ac:dyDescent="0.25">
      <c r="A406" s="2">
        <v>45539</v>
      </c>
      <c r="B406">
        <v>51</v>
      </c>
      <c r="C406">
        <v>43</v>
      </c>
      <c r="D406">
        <v>274.12773351165009</v>
      </c>
      <c r="E406">
        <v>26</v>
      </c>
      <c r="F406">
        <v>4619.6973391461879</v>
      </c>
      <c r="G406" t="s">
        <v>10</v>
      </c>
      <c r="H406" t="s">
        <v>42</v>
      </c>
      <c r="I406" t="s">
        <v>45</v>
      </c>
    </row>
    <row r="407" spans="1:9" x14ac:dyDescent="0.25">
      <c r="A407" s="2">
        <v>45540</v>
      </c>
      <c r="B407">
        <v>91</v>
      </c>
      <c r="C407">
        <v>57</v>
      </c>
      <c r="D407">
        <v>356.99474457990539</v>
      </c>
      <c r="E407">
        <v>30</v>
      </c>
      <c r="F407">
        <v>652.75690363609476</v>
      </c>
      <c r="G407" t="s">
        <v>48</v>
      </c>
      <c r="H407" t="s">
        <v>37</v>
      </c>
      <c r="I407" t="s">
        <v>46</v>
      </c>
    </row>
    <row r="408" spans="1:9" x14ac:dyDescent="0.25">
      <c r="A408" s="2">
        <v>45541</v>
      </c>
      <c r="B408">
        <v>94</v>
      </c>
      <c r="C408">
        <v>10</v>
      </c>
      <c r="D408">
        <v>491.82650637057162</v>
      </c>
      <c r="E408">
        <v>35</v>
      </c>
      <c r="F408">
        <v>3638.3912026107801</v>
      </c>
      <c r="G408" t="s">
        <v>49</v>
      </c>
      <c r="H408" t="s">
        <v>42</v>
      </c>
      <c r="I408" t="s">
        <v>46</v>
      </c>
    </row>
    <row r="409" spans="1:9" x14ac:dyDescent="0.25">
      <c r="A409" s="2">
        <v>45544</v>
      </c>
      <c r="B409">
        <v>55</v>
      </c>
      <c r="C409">
        <v>25</v>
      </c>
      <c r="D409">
        <v>298.27139116063512</v>
      </c>
      <c r="E409">
        <v>35</v>
      </c>
      <c r="F409">
        <v>1838.070533176478</v>
      </c>
      <c r="G409" t="s">
        <v>48</v>
      </c>
      <c r="H409" t="s">
        <v>37</v>
      </c>
      <c r="I409" t="s">
        <v>45</v>
      </c>
    </row>
    <row r="410" spans="1:9" x14ac:dyDescent="0.25">
      <c r="A410" s="2">
        <v>45545</v>
      </c>
      <c r="B410">
        <v>77</v>
      </c>
      <c r="C410">
        <v>70</v>
      </c>
      <c r="D410">
        <v>411.04335011393681</v>
      </c>
      <c r="E410">
        <v>25</v>
      </c>
      <c r="F410">
        <v>4659.7828791943866</v>
      </c>
      <c r="G410" t="s">
        <v>18</v>
      </c>
      <c r="H410" t="s">
        <v>38</v>
      </c>
      <c r="I410" t="s">
        <v>45</v>
      </c>
    </row>
    <row r="411" spans="1:9" x14ac:dyDescent="0.25">
      <c r="A411" s="2">
        <v>45546</v>
      </c>
      <c r="B411">
        <v>77</v>
      </c>
      <c r="C411">
        <v>73</v>
      </c>
      <c r="D411">
        <v>531.18185437337252</v>
      </c>
      <c r="E411">
        <v>26</v>
      </c>
      <c r="F411">
        <v>4869.7621032441548</v>
      </c>
      <c r="G411" t="s">
        <v>10</v>
      </c>
      <c r="H411" t="s">
        <v>43</v>
      </c>
      <c r="I411" t="s">
        <v>45</v>
      </c>
    </row>
    <row r="412" spans="1:9" x14ac:dyDescent="0.25">
      <c r="A412" s="2">
        <v>45547</v>
      </c>
      <c r="B412">
        <v>93</v>
      </c>
      <c r="C412">
        <v>72</v>
      </c>
      <c r="D412">
        <v>574.76031182882105</v>
      </c>
      <c r="E412">
        <v>4</v>
      </c>
      <c r="F412">
        <v>4749.1992010104523</v>
      </c>
      <c r="G412" t="s">
        <v>47</v>
      </c>
      <c r="H412" t="s">
        <v>38</v>
      </c>
      <c r="I412" t="s">
        <v>46</v>
      </c>
    </row>
    <row r="413" spans="1:9" x14ac:dyDescent="0.25">
      <c r="A413" s="2">
        <v>45548</v>
      </c>
      <c r="B413">
        <v>93</v>
      </c>
      <c r="C413">
        <v>78</v>
      </c>
      <c r="D413">
        <v>173.536740464519</v>
      </c>
      <c r="E413">
        <v>19</v>
      </c>
      <c r="F413">
        <v>2633.9639749585872</v>
      </c>
      <c r="G413" t="s">
        <v>48</v>
      </c>
      <c r="H413" t="s">
        <v>36</v>
      </c>
      <c r="I413" t="s">
        <v>45</v>
      </c>
    </row>
    <row r="414" spans="1:9" x14ac:dyDescent="0.25">
      <c r="A414" s="2">
        <v>45551</v>
      </c>
      <c r="B414">
        <v>69</v>
      </c>
      <c r="C414">
        <v>31</v>
      </c>
      <c r="D414">
        <v>563.29381258074727</v>
      </c>
      <c r="E414">
        <v>10</v>
      </c>
      <c r="F414">
        <v>4379.1919294519103</v>
      </c>
      <c r="G414" t="s">
        <v>34</v>
      </c>
      <c r="H414" t="s">
        <v>44</v>
      </c>
      <c r="I414" t="s">
        <v>46</v>
      </c>
    </row>
    <row r="415" spans="1:9" x14ac:dyDescent="0.25">
      <c r="A415" s="2">
        <v>45552</v>
      </c>
      <c r="B415">
        <v>79</v>
      </c>
      <c r="C415">
        <v>76</v>
      </c>
      <c r="D415">
        <v>346.0581465397691</v>
      </c>
      <c r="E415">
        <v>9</v>
      </c>
      <c r="F415">
        <v>4300.4722934078163</v>
      </c>
      <c r="G415" t="s">
        <v>47</v>
      </c>
      <c r="H415" t="s">
        <v>37</v>
      </c>
      <c r="I415" t="s">
        <v>46</v>
      </c>
    </row>
    <row r="416" spans="1:9" x14ac:dyDescent="0.25">
      <c r="A416" s="2">
        <v>45553</v>
      </c>
      <c r="B416">
        <v>60</v>
      </c>
      <c r="C416">
        <v>35</v>
      </c>
      <c r="D416">
        <v>229.12219414947921</v>
      </c>
      <c r="E416">
        <v>39</v>
      </c>
      <c r="F416">
        <v>1935.9521295946499</v>
      </c>
      <c r="G416" t="s">
        <v>49</v>
      </c>
      <c r="H416" t="s">
        <v>42</v>
      </c>
      <c r="I416" t="s">
        <v>45</v>
      </c>
    </row>
    <row r="417" spans="1:9" x14ac:dyDescent="0.25">
      <c r="A417" s="2">
        <v>45554</v>
      </c>
      <c r="B417">
        <v>77</v>
      </c>
      <c r="C417">
        <v>25</v>
      </c>
      <c r="D417">
        <v>329.56787811913068</v>
      </c>
      <c r="E417">
        <v>37</v>
      </c>
      <c r="F417">
        <v>4230.1196336780486</v>
      </c>
      <c r="G417" t="s">
        <v>34</v>
      </c>
      <c r="H417" t="s">
        <v>43</v>
      </c>
      <c r="I417" t="s">
        <v>45</v>
      </c>
    </row>
    <row r="418" spans="1:9" x14ac:dyDescent="0.25">
      <c r="A418" s="2">
        <v>45555</v>
      </c>
      <c r="B418">
        <v>74</v>
      </c>
      <c r="C418">
        <v>60</v>
      </c>
      <c r="D418">
        <v>590.01628764273846</v>
      </c>
      <c r="E418">
        <v>5</v>
      </c>
      <c r="F418">
        <v>666.53435621971676</v>
      </c>
      <c r="G418" t="s">
        <v>47</v>
      </c>
      <c r="H418" t="s">
        <v>37</v>
      </c>
      <c r="I418" t="s">
        <v>46</v>
      </c>
    </row>
    <row r="419" spans="1:9" x14ac:dyDescent="0.25">
      <c r="A419" s="2">
        <v>45558</v>
      </c>
      <c r="B419">
        <v>88</v>
      </c>
      <c r="C419">
        <v>66</v>
      </c>
      <c r="D419">
        <v>346.3090469964348</v>
      </c>
      <c r="E419">
        <v>7</v>
      </c>
      <c r="F419">
        <v>3183.2144531692388</v>
      </c>
      <c r="G419" t="s">
        <v>34</v>
      </c>
      <c r="H419" t="s">
        <v>42</v>
      </c>
      <c r="I419" t="s">
        <v>45</v>
      </c>
    </row>
    <row r="420" spans="1:9" x14ac:dyDescent="0.25">
      <c r="A420" s="2">
        <v>45559</v>
      </c>
      <c r="B420">
        <v>82</v>
      </c>
      <c r="C420">
        <v>38</v>
      </c>
      <c r="D420">
        <v>264.37580514375412</v>
      </c>
      <c r="E420">
        <v>22</v>
      </c>
      <c r="F420">
        <v>1535.0397677946639</v>
      </c>
      <c r="G420" t="s">
        <v>49</v>
      </c>
      <c r="H420" t="s">
        <v>44</v>
      </c>
      <c r="I420" t="s">
        <v>46</v>
      </c>
    </row>
    <row r="421" spans="1:9" x14ac:dyDescent="0.25">
      <c r="A421" s="2">
        <v>45560</v>
      </c>
      <c r="B421">
        <v>50</v>
      </c>
      <c r="C421">
        <v>78</v>
      </c>
      <c r="D421">
        <v>416.70042715836291</v>
      </c>
      <c r="E421">
        <v>25</v>
      </c>
      <c r="F421">
        <v>1042.5509859977551</v>
      </c>
      <c r="G421" t="s">
        <v>10</v>
      </c>
      <c r="H421" t="s">
        <v>38</v>
      </c>
      <c r="I421" t="s">
        <v>45</v>
      </c>
    </row>
    <row r="422" spans="1:9" x14ac:dyDescent="0.25">
      <c r="A422" s="2">
        <v>45561</v>
      </c>
      <c r="B422">
        <v>76</v>
      </c>
      <c r="C422">
        <v>56</v>
      </c>
      <c r="D422">
        <v>220.07280938909651</v>
      </c>
      <c r="E422">
        <v>11</v>
      </c>
      <c r="F422">
        <v>846.28940733144123</v>
      </c>
      <c r="G422" t="s">
        <v>18</v>
      </c>
      <c r="H422" t="s">
        <v>44</v>
      </c>
      <c r="I422" t="s">
        <v>45</v>
      </c>
    </row>
    <row r="423" spans="1:9" x14ac:dyDescent="0.25">
      <c r="A423" s="2">
        <v>45562</v>
      </c>
      <c r="B423">
        <v>62</v>
      </c>
      <c r="C423">
        <v>71</v>
      </c>
      <c r="D423">
        <v>137.931664054332</v>
      </c>
      <c r="E423">
        <v>25</v>
      </c>
      <c r="F423">
        <v>3633.2994914516289</v>
      </c>
      <c r="G423" t="s">
        <v>49</v>
      </c>
      <c r="H423" t="s">
        <v>35</v>
      </c>
      <c r="I423" t="s">
        <v>45</v>
      </c>
    </row>
    <row r="424" spans="1:9" x14ac:dyDescent="0.25">
      <c r="A424" s="2">
        <v>45565</v>
      </c>
      <c r="B424">
        <v>90</v>
      </c>
      <c r="C424">
        <v>78</v>
      </c>
      <c r="D424">
        <v>164.4398609553246</v>
      </c>
      <c r="E424">
        <v>12</v>
      </c>
      <c r="F424">
        <v>2029.4373369562979</v>
      </c>
      <c r="G424" t="s">
        <v>49</v>
      </c>
      <c r="H424" t="s">
        <v>36</v>
      </c>
      <c r="I424" t="s">
        <v>46</v>
      </c>
    </row>
    <row r="425" spans="1:9" x14ac:dyDescent="0.25">
      <c r="A425" s="2">
        <v>45566</v>
      </c>
      <c r="B425">
        <v>32</v>
      </c>
      <c r="C425">
        <v>16</v>
      </c>
      <c r="D425">
        <v>393.04</v>
      </c>
      <c r="E425">
        <v>7</v>
      </c>
      <c r="F425">
        <v>1286.18</v>
      </c>
      <c r="G425" t="s">
        <v>17</v>
      </c>
      <c r="H425" t="s">
        <v>37</v>
      </c>
      <c r="I425" t="s">
        <v>46</v>
      </c>
    </row>
    <row r="426" spans="1:9" x14ac:dyDescent="0.25">
      <c r="A426" s="2">
        <v>45566</v>
      </c>
      <c r="B426">
        <v>51</v>
      </c>
      <c r="C426">
        <v>7</v>
      </c>
      <c r="D426">
        <v>248.37</v>
      </c>
      <c r="E426">
        <v>7</v>
      </c>
      <c r="F426">
        <v>3946.23</v>
      </c>
      <c r="G426" t="s">
        <v>16</v>
      </c>
      <c r="H426" t="s">
        <v>44</v>
      </c>
      <c r="I426" t="s">
        <v>45</v>
      </c>
    </row>
    <row r="427" spans="1:9" x14ac:dyDescent="0.25">
      <c r="A427" s="2">
        <v>45566</v>
      </c>
      <c r="B427">
        <v>70</v>
      </c>
      <c r="C427">
        <v>21</v>
      </c>
      <c r="D427">
        <v>319.62</v>
      </c>
      <c r="E427">
        <v>3</v>
      </c>
      <c r="F427">
        <v>2486.2199999999998</v>
      </c>
      <c r="G427" t="s">
        <v>15</v>
      </c>
      <c r="H427" t="s">
        <v>37</v>
      </c>
      <c r="I427" t="s">
        <v>46</v>
      </c>
    </row>
    <row r="428" spans="1:9" x14ac:dyDescent="0.25">
      <c r="A428" s="2">
        <v>45566</v>
      </c>
      <c r="B428">
        <v>62</v>
      </c>
      <c r="C428">
        <v>8</v>
      </c>
      <c r="D428">
        <v>540.79999999999995</v>
      </c>
      <c r="E428">
        <v>3</v>
      </c>
      <c r="F428">
        <v>3928.71</v>
      </c>
      <c r="G428" t="s">
        <v>14</v>
      </c>
      <c r="H428" t="s">
        <v>36</v>
      </c>
      <c r="I428" t="s">
        <v>45</v>
      </c>
    </row>
    <row r="429" spans="1:9" x14ac:dyDescent="0.25">
      <c r="A429" s="2">
        <v>45566</v>
      </c>
      <c r="B429">
        <v>71</v>
      </c>
      <c r="C429">
        <v>16</v>
      </c>
      <c r="D429">
        <v>323.56</v>
      </c>
      <c r="E429">
        <v>9</v>
      </c>
      <c r="F429">
        <v>957.05</v>
      </c>
      <c r="G429" t="s">
        <v>18</v>
      </c>
      <c r="H429" t="s">
        <v>43</v>
      </c>
      <c r="I429" t="s">
        <v>45</v>
      </c>
    </row>
    <row r="430" spans="1:9" x14ac:dyDescent="0.25">
      <c r="A430" s="2">
        <v>45566</v>
      </c>
      <c r="B430">
        <v>22</v>
      </c>
      <c r="C430">
        <v>7</v>
      </c>
      <c r="D430">
        <v>74.680000000000007</v>
      </c>
      <c r="E430">
        <v>4</v>
      </c>
      <c r="F430">
        <v>1543.72</v>
      </c>
      <c r="G430" t="s">
        <v>12</v>
      </c>
      <c r="H430" t="s">
        <v>36</v>
      </c>
      <c r="I430" t="s">
        <v>46</v>
      </c>
    </row>
    <row r="431" spans="1:9" x14ac:dyDescent="0.25">
      <c r="A431" s="2">
        <v>45566</v>
      </c>
      <c r="B431">
        <v>58</v>
      </c>
      <c r="C431">
        <v>13</v>
      </c>
      <c r="D431">
        <v>368.06</v>
      </c>
      <c r="E431">
        <v>2</v>
      </c>
      <c r="F431">
        <v>3626.22</v>
      </c>
      <c r="G431" t="s">
        <v>11</v>
      </c>
      <c r="H431" t="s">
        <v>43</v>
      </c>
      <c r="I431" t="s">
        <v>45</v>
      </c>
    </row>
    <row r="432" spans="1:9" x14ac:dyDescent="0.25">
      <c r="A432" s="2">
        <v>45566</v>
      </c>
      <c r="B432">
        <v>74</v>
      </c>
      <c r="C432">
        <v>16</v>
      </c>
      <c r="D432">
        <v>308.51</v>
      </c>
      <c r="E432">
        <v>7</v>
      </c>
      <c r="F432">
        <v>4267.5</v>
      </c>
      <c r="G432" t="s">
        <v>9</v>
      </c>
      <c r="H432" t="s">
        <v>39</v>
      </c>
      <c r="I432" t="s">
        <v>45</v>
      </c>
    </row>
    <row r="433" spans="1:9" x14ac:dyDescent="0.25">
      <c r="A433" s="2">
        <v>45566</v>
      </c>
      <c r="B433">
        <v>74</v>
      </c>
      <c r="C433">
        <v>15</v>
      </c>
      <c r="D433">
        <v>460.2</v>
      </c>
      <c r="E433">
        <v>4</v>
      </c>
      <c r="F433">
        <v>980.1</v>
      </c>
      <c r="G433" t="s">
        <v>13</v>
      </c>
      <c r="H433" t="s">
        <v>40</v>
      </c>
      <c r="I433" t="s">
        <v>45</v>
      </c>
    </row>
    <row r="434" spans="1:9" x14ac:dyDescent="0.25">
      <c r="A434" s="2">
        <v>45566</v>
      </c>
      <c r="B434">
        <v>17</v>
      </c>
      <c r="C434">
        <v>7</v>
      </c>
      <c r="D434">
        <v>205.3</v>
      </c>
      <c r="E434">
        <v>4</v>
      </c>
      <c r="F434">
        <v>762.2</v>
      </c>
      <c r="G434" t="s">
        <v>19</v>
      </c>
      <c r="H434" t="s">
        <v>40</v>
      </c>
      <c r="I434" t="s">
        <v>46</v>
      </c>
    </row>
    <row r="435" spans="1:9" x14ac:dyDescent="0.25">
      <c r="A435" s="2">
        <v>45566</v>
      </c>
      <c r="B435">
        <v>34</v>
      </c>
      <c r="C435">
        <v>12</v>
      </c>
      <c r="D435">
        <v>356.4</v>
      </c>
      <c r="E435">
        <v>8</v>
      </c>
      <c r="F435">
        <v>4111.76</v>
      </c>
      <c r="G435" t="s">
        <v>34</v>
      </c>
      <c r="H435" t="s">
        <v>38</v>
      </c>
      <c r="I435" t="s">
        <v>46</v>
      </c>
    </row>
    <row r="436" spans="1:9" x14ac:dyDescent="0.25">
      <c r="A436" s="2">
        <v>45566</v>
      </c>
      <c r="B436">
        <v>73</v>
      </c>
      <c r="C436">
        <v>17</v>
      </c>
      <c r="D436">
        <v>557.29999999999995</v>
      </c>
      <c r="E436">
        <v>3</v>
      </c>
      <c r="F436">
        <v>376.66</v>
      </c>
      <c r="G436" t="s">
        <v>21</v>
      </c>
      <c r="H436" t="s">
        <v>36</v>
      </c>
      <c r="I436" t="s">
        <v>46</v>
      </c>
    </row>
    <row r="437" spans="1:9" x14ac:dyDescent="0.25">
      <c r="A437" s="2">
        <v>45566</v>
      </c>
      <c r="B437">
        <v>35</v>
      </c>
      <c r="C437">
        <v>6</v>
      </c>
      <c r="D437">
        <v>544.78</v>
      </c>
      <c r="E437">
        <v>5</v>
      </c>
      <c r="F437">
        <v>3420.99</v>
      </c>
      <c r="G437" t="s">
        <v>20</v>
      </c>
      <c r="H437" t="s">
        <v>43</v>
      </c>
      <c r="I437" t="s">
        <v>46</v>
      </c>
    </row>
    <row r="438" spans="1:9" x14ac:dyDescent="0.25">
      <c r="A438" s="2">
        <v>45566</v>
      </c>
      <c r="B438">
        <v>36</v>
      </c>
      <c r="C438">
        <v>10</v>
      </c>
      <c r="D438">
        <v>535.44000000000005</v>
      </c>
      <c r="E438">
        <v>4</v>
      </c>
      <c r="F438">
        <v>241.26</v>
      </c>
      <c r="G438" t="s">
        <v>33</v>
      </c>
      <c r="H438" t="s">
        <v>35</v>
      </c>
      <c r="I438" t="s">
        <v>45</v>
      </c>
    </row>
    <row r="439" spans="1:9" x14ac:dyDescent="0.25">
      <c r="A439" s="2">
        <v>45566</v>
      </c>
      <c r="B439">
        <v>85</v>
      </c>
      <c r="C439">
        <v>15</v>
      </c>
      <c r="D439">
        <v>400.65</v>
      </c>
      <c r="E439">
        <v>0</v>
      </c>
      <c r="F439">
        <v>2890.62</v>
      </c>
      <c r="G439" t="s">
        <v>32</v>
      </c>
      <c r="H439" t="s">
        <v>42</v>
      </c>
      <c r="I439" t="s">
        <v>45</v>
      </c>
    </row>
    <row r="440" spans="1:9" x14ac:dyDescent="0.25">
      <c r="A440" s="2">
        <v>45566</v>
      </c>
      <c r="B440">
        <v>63</v>
      </c>
      <c r="C440">
        <v>10</v>
      </c>
      <c r="D440">
        <v>194.21</v>
      </c>
      <c r="E440">
        <v>7</v>
      </c>
      <c r="F440">
        <v>508.84</v>
      </c>
      <c r="G440" t="s">
        <v>31</v>
      </c>
      <c r="H440" t="s">
        <v>43</v>
      </c>
      <c r="I440" t="s">
        <v>45</v>
      </c>
    </row>
    <row r="441" spans="1:9" x14ac:dyDescent="0.25">
      <c r="A441" s="2">
        <v>45566</v>
      </c>
      <c r="B441">
        <v>108</v>
      </c>
      <c r="C441">
        <v>6</v>
      </c>
      <c r="D441">
        <v>515.27</v>
      </c>
      <c r="E441">
        <v>2</v>
      </c>
      <c r="F441">
        <v>3183.87</v>
      </c>
      <c r="G441" t="s">
        <v>30</v>
      </c>
      <c r="H441" t="s">
        <v>41</v>
      </c>
      <c r="I441" t="s">
        <v>46</v>
      </c>
    </row>
    <row r="442" spans="1:9" x14ac:dyDescent="0.25">
      <c r="A442" s="2">
        <v>45566</v>
      </c>
      <c r="B442">
        <v>21</v>
      </c>
      <c r="C442">
        <v>15</v>
      </c>
      <c r="D442">
        <v>309.75</v>
      </c>
      <c r="E442">
        <v>2</v>
      </c>
      <c r="F442">
        <v>1649.09</v>
      </c>
      <c r="G442" t="s">
        <v>29</v>
      </c>
      <c r="H442" t="s">
        <v>43</v>
      </c>
      <c r="I442" t="s">
        <v>45</v>
      </c>
    </row>
    <row r="443" spans="1:9" x14ac:dyDescent="0.25">
      <c r="A443" s="2">
        <v>45566</v>
      </c>
      <c r="B443">
        <v>72</v>
      </c>
      <c r="C443">
        <v>10</v>
      </c>
      <c r="D443">
        <v>362.58</v>
      </c>
      <c r="E443">
        <v>5</v>
      </c>
      <c r="F443">
        <v>3679.65</v>
      </c>
      <c r="G443" t="s">
        <v>10</v>
      </c>
      <c r="H443" t="s">
        <v>39</v>
      </c>
      <c r="I443" t="s">
        <v>45</v>
      </c>
    </row>
    <row r="444" spans="1:9" x14ac:dyDescent="0.25">
      <c r="A444" s="2">
        <v>45566</v>
      </c>
      <c r="B444">
        <v>104</v>
      </c>
      <c r="C444">
        <v>20</v>
      </c>
      <c r="D444">
        <v>181.9</v>
      </c>
      <c r="E444">
        <v>4</v>
      </c>
      <c r="F444">
        <v>400.92</v>
      </c>
      <c r="G444" t="s">
        <v>27</v>
      </c>
      <c r="H444" t="s">
        <v>40</v>
      </c>
      <c r="I444" t="s">
        <v>46</v>
      </c>
    </row>
    <row r="445" spans="1:9" x14ac:dyDescent="0.25">
      <c r="A445" s="2">
        <v>45566</v>
      </c>
      <c r="B445">
        <v>21</v>
      </c>
      <c r="C445">
        <v>14</v>
      </c>
      <c r="D445">
        <v>537.36</v>
      </c>
      <c r="E445">
        <v>7</v>
      </c>
      <c r="F445">
        <v>3767.78</v>
      </c>
      <c r="G445" t="s">
        <v>26</v>
      </c>
      <c r="H445" t="s">
        <v>39</v>
      </c>
      <c r="I445" t="s">
        <v>46</v>
      </c>
    </row>
    <row r="446" spans="1:9" x14ac:dyDescent="0.25">
      <c r="A446" s="2">
        <v>45566</v>
      </c>
      <c r="B446">
        <v>102</v>
      </c>
      <c r="C446">
        <v>5</v>
      </c>
      <c r="D446">
        <v>86.37</v>
      </c>
      <c r="E446">
        <v>5</v>
      </c>
      <c r="F446">
        <v>3851.19</v>
      </c>
      <c r="G446" t="s">
        <v>25</v>
      </c>
      <c r="H446" t="s">
        <v>41</v>
      </c>
      <c r="I446" t="s">
        <v>46</v>
      </c>
    </row>
    <row r="447" spans="1:9" x14ac:dyDescent="0.25">
      <c r="A447" s="2">
        <v>45566</v>
      </c>
      <c r="B447">
        <v>106</v>
      </c>
      <c r="C447">
        <v>5</v>
      </c>
      <c r="D447">
        <v>163.38</v>
      </c>
      <c r="E447">
        <v>1</v>
      </c>
      <c r="F447">
        <v>1148.1400000000001</v>
      </c>
      <c r="G447" t="s">
        <v>24</v>
      </c>
      <c r="H447" t="s">
        <v>42</v>
      </c>
      <c r="I447" t="s">
        <v>46</v>
      </c>
    </row>
    <row r="448" spans="1:9" x14ac:dyDescent="0.25">
      <c r="A448" s="2">
        <v>45566</v>
      </c>
      <c r="B448">
        <v>49</v>
      </c>
      <c r="C448">
        <v>7</v>
      </c>
      <c r="D448">
        <v>204.14</v>
      </c>
      <c r="E448">
        <v>3</v>
      </c>
      <c r="F448">
        <v>636.65</v>
      </c>
      <c r="G448" t="s">
        <v>23</v>
      </c>
      <c r="H448" t="s">
        <v>38</v>
      </c>
      <c r="I448" t="s">
        <v>45</v>
      </c>
    </row>
    <row r="449" spans="1:9" x14ac:dyDescent="0.25">
      <c r="A449" s="2">
        <v>45566</v>
      </c>
      <c r="B449">
        <v>64</v>
      </c>
      <c r="C449">
        <v>15</v>
      </c>
      <c r="D449">
        <v>514.38</v>
      </c>
      <c r="E449">
        <v>0</v>
      </c>
      <c r="F449">
        <v>1220.5899999999999</v>
      </c>
      <c r="G449" t="s">
        <v>28</v>
      </c>
      <c r="H449" t="s">
        <v>39</v>
      </c>
      <c r="I449" t="s">
        <v>45</v>
      </c>
    </row>
    <row r="450" spans="1:9" x14ac:dyDescent="0.25">
      <c r="A450" s="2">
        <v>45566</v>
      </c>
      <c r="B450">
        <v>27</v>
      </c>
      <c r="C450">
        <v>6</v>
      </c>
      <c r="D450">
        <v>202.37</v>
      </c>
      <c r="E450">
        <v>1</v>
      </c>
      <c r="F450">
        <v>3781.81</v>
      </c>
      <c r="G450" t="s">
        <v>22</v>
      </c>
      <c r="H450" t="s">
        <v>44</v>
      </c>
      <c r="I450" t="s">
        <v>45</v>
      </c>
    </row>
    <row r="451" spans="1:9" x14ac:dyDescent="0.25">
      <c r="A451" s="2">
        <v>45567</v>
      </c>
      <c r="B451">
        <v>52</v>
      </c>
      <c r="C451">
        <v>25</v>
      </c>
      <c r="D451">
        <v>164.02291947888619</v>
      </c>
      <c r="E451">
        <v>39</v>
      </c>
      <c r="F451">
        <v>3761.450471879426</v>
      </c>
      <c r="G451" t="s">
        <v>34</v>
      </c>
      <c r="H451" t="s">
        <v>35</v>
      </c>
      <c r="I451" t="s">
        <v>45</v>
      </c>
    </row>
    <row r="452" spans="1:9" x14ac:dyDescent="0.25">
      <c r="A452" s="2">
        <v>45568</v>
      </c>
      <c r="B452">
        <v>88</v>
      </c>
      <c r="C452">
        <v>57</v>
      </c>
      <c r="D452">
        <v>175.95134675614719</v>
      </c>
      <c r="E452">
        <v>17</v>
      </c>
      <c r="F452">
        <v>794.10353359524061</v>
      </c>
      <c r="G452" t="s">
        <v>10</v>
      </c>
      <c r="H452" t="s">
        <v>43</v>
      </c>
      <c r="I452" t="s">
        <v>46</v>
      </c>
    </row>
    <row r="453" spans="1:9" x14ac:dyDescent="0.25">
      <c r="A453" s="2">
        <v>45569</v>
      </c>
      <c r="B453">
        <v>55</v>
      </c>
      <c r="C453">
        <v>48</v>
      </c>
      <c r="D453">
        <v>169.41358632470511</v>
      </c>
      <c r="E453">
        <v>24</v>
      </c>
      <c r="F453">
        <v>1918.806520237747</v>
      </c>
      <c r="G453" t="s">
        <v>12</v>
      </c>
      <c r="H453" t="s">
        <v>37</v>
      </c>
      <c r="I453" t="s">
        <v>46</v>
      </c>
    </row>
    <row r="454" spans="1:9" x14ac:dyDescent="0.25">
      <c r="A454" s="2">
        <v>45572</v>
      </c>
      <c r="B454">
        <v>57</v>
      </c>
      <c r="C454">
        <v>42</v>
      </c>
      <c r="D454">
        <v>420.43737240160732</v>
      </c>
      <c r="E454">
        <v>32</v>
      </c>
      <c r="F454">
        <v>2927.7108156890181</v>
      </c>
      <c r="G454" t="s">
        <v>9</v>
      </c>
      <c r="H454" t="s">
        <v>43</v>
      </c>
      <c r="I454" t="s">
        <v>46</v>
      </c>
    </row>
    <row r="455" spans="1:9" x14ac:dyDescent="0.25">
      <c r="A455" s="2">
        <v>45573</v>
      </c>
      <c r="B455">
        <v>76</v>
      </c>
      <c r="C455">
        <v>32</v>
      </c>
      <c r="D455">
        <v>190.94004219957239</v>
      </c>
      <c r="E455">
        <v>39</v>
      </c>
      <c r="F455">
        <v>4058.2542417753361</v>
      </c>
      <c r="G455" t="s">
        <v>48</v>
      </c>
      <c r="H455" t="s">
        <v>38</v>
      </c>
      <c r="I455" t="s">
        <v>46</v>
      </c>
    </row>
    <row r="456" spans="1:9" x14ac:dyDescent="0.25">
      <c r="A456" s="2">
        <v>45574</v>
      </c>
      <c r="B456">
        <v>58</v>
      </c>
      <c r="C456">
        <v>19</v>
      </c>
      <c r="D456">
        <v>272.83364166193161</v>
      </c>
      <c r="E456">
        <v>11</v>
      </c>
      <c r="F456">
        <v>1934.386263194315</v>
      </c>
      <c r="G456" t="s">
        <v>48</v>
      </c>
      <c r="H456" t="s">
        <v>42</v>
      </c>
      <c r="I456" t="s">
        <v>45</v>
      </c>
    </row>
    <row r="457" spans="1:9" x14ac:dyDescent="0.25">
      <c r="A457" s="2">
        <v>45575</v>
      </c>
      <c r="B457">
        <v>86</v>
      </c>
      <c r="C457">
        <v>78</v>
      </c>
      <c r="D457">
        <v>548.3942049530059</v>
      </c>
      <c r="E457">
        <v>35</v>
      </c>
      <c r="F457">
        <v>3316.5111939665412</v>
      </c>
      <c r="G457" t="s">
        <v>18</v>
      </c>
      <c r="H457" t="s">
        <v>44</v>
      </c>
      <c r="I457" t="s">
        <v>46</v>
      </c>
    </row>
    <row r="458" spans="1:9" x14ac:dyDescent="0.25">
      <c r="A458" s="2">
        <v>45576</v>
      </c>
      <c r="B458">
        <v>82</v>
      </c>
      <c r="C458">
        <v>43</v>
      </c>
      <c r="D458">
        <v>336.98082013143619</v>
      </c>
      <c r="E458">
        <v>3</v>
      </c>
      <c r="F458">
        <v>4486.8998670628434</v>
      </c>
      <c r="G458" t="s">
        <v>18</v>
      </c>
      <c r="H458" t="s">
        <v>35</v>
      </c>
      <c r="I458" t="s">
        <v>46</v>
      </c>
    </row>
    <row r="459" spans="1:9" x14ac:dyDescent="0.25">
      <c r="A459" s="2">
        <v>45579</v>
      </c>
      <c r="B459">
        <v>91</v>
      </c>
      <c r="C459">
        <v>61</v>
      </c>
      <c r="D459">
        <v>433.7788692605136</v>
      </c>
      <c r="E459">
        <v>4</v>
      </c>
      <c r="F459">
        <v>3271.38434682037</v>
      </c>
      <c r="G459" t="s">
        <v>48</v>
      </c>
      <c r="H459" t="s">
        <v>40</v>
      </c>
      <c r="I459" t="s">
        <v>45</v>
      </c>
    </row>
    <row r="460" spans="1:9" x14ac:dyDescent="0.25">
      <c r="A460" s="2">
        <v>45580</v>
      </c>
      <c r="B460">
        <v>93</v>
      </c>
      <c r="C460">
        <v>19</v>
      </c>
      <c r="D460">
        <v>186.15993560081489</v>
      </c>
      <c r="E460">
        <v>36</v>
      </c>
      <c r="F460">
        <v>1548.3176363913519</v>
      </c>
      <c r="G460" t="s">
        <v>9</v>
      </c>
      <c r="H460" t="s">
        <v>35</v>
      </c>
      <c r="I460" t="s">
        <v>46</v>
      </c>
    </row>
    <row r="461" spans="1:9" x14ac:dyDescent="0.25">
      <c r="A461" s="2">
        <v>45581</v>
      </c>
      <c r="B461">
        <v>73</v>
      </c>
      <c r="C461">
        <v>28</v>
      </c>
      <c r="D461">
        <v>196.14450940433539</v>
      </c>
      <c r="E461">
        <v>7</v>
      </c>
      <c r="F461">
        <v>609.80351700442111</v>
      </c>
      <c r="G461" t="s">
        <v>48</v>
      </c>
      <c r="H461" t="s">
        <v>38</v>
      </c>
      <c r="I461" t="s">
        <v>45</v>
      </c>
    </row>
    <row r="462" spans="1:9" x14ac:dyDescent="0.25">
      <c r="A462" s="2">
        <v>45582</v>
      </c>
      <c r="B462">
        <v>64</v>
      </c>
      <c r="C462">
        <v>67</v>
      </c>
      <c r="D462">
        <v>120.4343081332394</v>
      </c>
      <c r="E462">
        <v>27</v>
      </c>
      <c r="F462">
        <v>4415.4449325541846</v>
      </c>
      <c r="G462" t="s">
        <v>12</v>
      </c>
      <c r="H462" t="s">
        <v>35</v>
      </c>
      <c r="I462" t="s">
        <v>46</v>
      </c>
    </row>
    <row r="463" spans="1:9" x14ac:dyDescent="0.25">
      <c r="A463" s="2">
        <v>45583</v>
      </c>
      <c r="B463">
        <v>81</v>
      </c>
      <c r="C463">
        <v>10</v>
      </c>
      <c r="D463">
        <v>184.4675315360823</v>
      </c>
      <c r="E463">
        <v>30</v>
      </c>
      <c r="F463">
        <v>595.71234882674207</v>
      </c>
      <c r="G463" t="s">
        <v>9</v>
      </c>
      <c r="H463" t="s">
        <v>38</v>
      </c>
      <c r="I463" t="s">
        <v>45</v>
      </c>
    </row>
    <row r="464" spans="1:9" x14ac:dyDescent="0.25">
      <c r="A464" s="2">
        <v>45586</v>
      </c>
      <c r="B464">
        <v>81</v>
      </c>
      <c r="C464">
        <v>78</v>
      </c>
      <c r="D464">
        <v>239.2951695159793</v>
      </c>
      <c r="E464">
        <v>8</v>
      </c>
      <c r="F464">
        <v>4436.1575270788971</v>
      </c>
      <c r="G464" t="s">
        <v>18</v>
      </c>
      <c r="H464" t="s">
        <v>40</v>
      </c>
      <c r="I464" t="s">
        <v>46</v>
      </c>
    </row>
    <row r="465" spans="1:9" x14ac:dyDescent="0.25">
      <c r="A465" s="2">
        <v>45587</v>
      </c>
      <c r="B465">
        <v>73</v>
      </c>
      <c r="C465">
        <v>13</v>
      </c>
      <c r="D465">
        <v>188.5052421383734</v>
      </c>
      <c r="E465">
        <v>28</v>
      </c>
      <c r="F465">
        <v>2880.2171031224539</v>
      </c>
      <c r="G465" t="s">
        <v>47</v>
      </c>
      <c r="H465" t="s">
        <v>43</v>
      </c>
      <c r="I465" t="s">
        <v>45</v>
      </c>
    </row>
    <row r="466" spans="1:9" x14ac:dyDescent="0.25">
      <c r="A466" s="2">
        <v>45588</v>
      </c>
      <c r="B466">
        <v>90</v>
      </c>
      <c r="C466">
        <v>25</v>
      </c>
      <c r="D466">
        <v>144.35126687852781</v>
      </c>
      <c r="E466">
        <v>13</v>
      </c>
      <c r="F466">
        <v>4725.8046433080326</v>
      </c>
      <c r="G466" t="s">
        <v>34</v>
      </c>
      <c r="H466" t="s">
        <v>44</v>
      </c>
      <c r="I466" t="s">
        <v>46</v>
      </c>
    </row>
    <row r="467" spans="1:9" x14ac:dyDescent="0.25">
      <c r="A467" s="2">
        <v>45589</v>
      </c>
      <c r="B467">
        <v>98</v>
      </c>
      <c r="C467">
        <v>33</v>
      </c>
      <c r="D467">
        <v>160.3179355503004</v>
      </c>
      <c r="E467">
        <v>39</v>
      </c>
      <c r="F467">
        <v>4094.5245609814938</v>
      </c>
      <c r="G467" t="s">
        <v>12</v>
      </c>
      <c r="H467" t="s">
        <v>37</v>
      </c>
      <c r="I467" t="s">
        <v>46</v>
      </c>
    </row>
    <row r="468" spans="1:9" x14ac:dyDescent="0.25">
      <c r="A468" s="2">
        <v>45590</v>
      </c>
      <c r="B468">
        <v>98</v>
      </c>
      <c r="C468">
        <v>11</v>
      </c>
      <c r="D468">
        <v>330.3893840163629</v>
      </c>
      <c r="E468">
        <v>21</v>
      </c>
      <c r="F468">
        <v>4990.7034974000189</v>
      </c>
      <c r="G468" t="s">
        <v>12</v>
      </c>
      <c r="H468" t="s">
        <v>42</v>
      </c>
      <c r="I468" t="s">
        <v>45</v>
      </c>
    </row>
    <row r="469" spans="1:9" x14ac:dyDescent="0.25">
      <c r="A469" s="2">
        <v>45593</v>
      </c>
      <c r="B469">
        <v>61</v>
      </c>
      <c r="C469">
        <v>41</v>
      </c>
      <c r="D469">
        <v>203.16685920289629</v>
      </c>
      <c r="E469">
        <v>10</v>
      </c>
      <c r="F469">
        <v>2078.2031695326959</v>
      </c>
      <c r="G469" t="s">
        <v>10</v>
      </c>
      <c r="H469" t="s">
        <v>37</v>
      </c>
      <c r="I469" t="s">
        <v>45</v>
      </c>
    </row>
    <row r="470" spans="1:9" x14ac:dyDescent="0.25">
      <c r="A470" s="2">
        <v>45594</v>
      </c>
      <c r="B470">
        <v>88</v>
      </c>
      <c r="C470">
        <v>33</v>
      </c>
      <c r="D470">
        <v>282.13493052403771</v>
      </c>
      <c r="E470">
        <v>22</v>
      </c>
      <c r="F470">
        <v>3952.3473001900711</v>
      </c>
      <c r="G470" t="s">
        <v>18</v>
      </c>
      <c r="H470" t="s">
        <v>43</v>
      </c>
      <c r="I470" t="s">
        <v>45</v>
      </c>
    </row>
    <row r="471" spans="1:9" x14ac:dyDescent="0.25">
      <c r="A471" s="2">
        <v>45595</v>
      </c>
      <c r="B471">
        <v>51</v>
      </c>
      <c r="C471">
        <v>21</v>
      </c>
      <c r="D471">
        <v>351.70863542742848</v>
      </c>
      <c r="E471">
        <v>0</v>
      </c>
      <c r="F471">
        <v>2308.6891112415901</v>
      </c>
      <c r="G471" t="s">
        <v>18</v>
      </c>
      <c r="H471" t="s">
        <v>42</v>
      </c>
      <c r="I471" t="s">
        <v>45</v>
      </c>
    </row>
    <row r="472" spans="1:9" x14ac:dyDescent="0.25">
      <c r="A472" s="2">
        <v>45596</v>
      </c>
      <c r="B472">
        <v>52</v>
      </c>
      <c r="C472">
        <v>59</v>
      </c>
      <c r="D472">
        <v>445.19741431468259</v>
      </c>
      <c r="E472">
        <v>36</v>
      </c>
      <c r="F472">
        <v>2659.4402913675899</v>
      </c>
      <c r="G472" t="s">
        <v>49</v>
      </c>
      <c r="H472" t="s">
        <v>35</v>
      </c>
      <c r="I472" t="s">
        <v>46</v>
      </c>
    </row>
    <row r="473" spans="1:9" x14ac:dyDescent="0.25">
      <c r="A473" s="2">
        <v>45597</v>
      </c>
      <c r="B473">
        <v>73</v>
      </c>
      <c r="C473">
        <v>8</v>
      </c>
      <c r="D473">
        <v>182.48</v>
      </c>
      <c r="E473">
        <v>8</v>
      </c>
      <c r="F473">
        <v>548.46</v>
      </c>
      <c r="G473" t="s">
        <v>31</v>
      </c>
      <c r="H473" t="s">
        <v>39</v>
      </c>
      <c r="I473" t="s">
        <v>46</v>
      </c>
    </row>
    <row r="474" spans="1:9" x14ac:dyDescent="0.25">
      <c r="A474" s="2">
        <v>45597</v>
      </c>
      <c r="B474">
        <v>77</v>
      </c>
      <c r="C474">
        <v>16</v>
      </c>
      <c r="D474">
        <v>502.41</v>
      </c>
      <c r="E474">
        <v>5</v>
      </c>
      <c r="F474">
        <v>1093.75</v>
      </c>
      <c r="G474" t="s">
        <v>13</v>
      </c>
      <c r="H474" t="s">
        <v>44</v>
      </c>
      <c r="I474" t="s">
        <v>46</v>
      </c>
    </row>
    <row r="475" spans="1:9" x14ac:dyDescent="0.25">
      <c r="A475" s="2">
        <v>45597</v>
      </c>
      <c r="B475">
        <v>22</v>
      </c>
      <c r="C475">
        <v>6</v>
      </c>
      <c r="D475">
        <v>80.02</v>
      </c>
      <c r="E475">
        <v>3</v>
      </c>
      <c r="F475">
        <v>1476.69</v>
      </c>
      <c r="G475" t="s">
        <v>12</v>
      </c>
      <c r="H475" t="s">
        <v>43</v>
      </c>
      <c r="I475" t="s">
        <v>45</v>
      </c>
    </row>
    <row r="476" spans="1:9" x14ac:dyDescent="0.25">
      <c r="A476" s="2">
        <v>45597</v>
      </c>
      <c r="B476">
        <v>41</v>
      </c>
      <c r="C476">
        <v>13</v>
      </c>
      <c r="D476">
        <v>370.44</v>
      </c>
      <c r="E476">
        <v>9</v>
      </c>
      <c r="F476">
        <v>4484.96</v>
      </c>
      <c r="G476" t="s">
        <v>34</v>
      </c>
      <c r="H476" t="s">
        <v>42</v>
      </c>
      <c r="I476" t="s">
        <v>45</v>
      </c>
    </row>
    <row r="477" spans="1:9" x14ac:dyDescent="0.25">
      <c r="A477" s="2">
        <v>45597</v>
      </c>
      <c r="B477">
        <v>28</v>
      </c>
      <c r="C477">
        <v>12</v>
      </c>
      <c r="D477">
        <v>565.51</v>
      </c>
      <c r="E477">
        <v>4</v>
      </c>
      <c r="F477">
        <v>231.16</v>
      </c>
      <c r="G477" t="s">
        <v>33</v>
      </c>
      <c r="H477" t="s">
        <v>41</v>
      </c>
      <c r="I477" t="s">
        <v>46</v>
      </c>
    </row>
    <row r="478" spans="1:9" x14ac:dyDescent="0.25">
      <c r="A478" s="2">
        <v>45597</v>
      </c>
      <c r="B478">
        <v>97</v>
      </c>
      <c r="C478">
        <v>14</v>
      </c>
      <c r="D478">
        <v>368.16</v>
      </c>
      <c r="E478">
        <v>0</v>
      </c>
      <c r="F478">
        <v>3020.19</v>
      </c>
      <c r="G478" t="s">
        <v>32</v>
      </c>
      <c r="H478" t="s">
        <v>36</v>
      </c>
      <c r="I478" t="s">
        <v>46</v>
      </c>
    </row>
    <row r="479" spans="1:9" x14ac:dyDescent="0.25">
      <c r="A479" s="2">
        <v>45597</v>
      </c>
      <c r="B479">
        <v>87</v>
      </c>
      <c r="C479">
        <v>5</v>
      </c>
      <c r="D479">
        <v>601.28</v>
      </c>
      <c r="E479">
        <v>2</v>
      </c>
      <c r="F479">
        <v>3491.19</v>
      </c>
      <c r="G479" t="s">
        <v>30</v>
      </c>
      <c r="H479" t="s">
        <v>41</v>
      </c>
      <c r="I479" t="s">
        <v>45</v>
      </c>
    </row>
    <row r="480" spans="1:9" x14ac:dyDescent="0.25">
      <c r="A480" s="2">
        <v>45597</v>
      </c>
      <c r="B480">
        <v>18</v>
      </c>
      <c r="C480">
        <v>15</v>
      </c>
      <c r="D480">
        <v>268.94</v>
      </c>
      <c r="E480">
        <v>1</v>
      </c>
      <c r="F480">
        <v>1469.71</v>
      </c>
      <c r="G480" t="s">
        <v>29</v>
      </c>
      <c r="H480" t="s">
        <v>43</v>
      </c>
      <c r="I480" t="s">
        <v>46</v>
      </c>
    </row>
    <row r="481" spans="1:9" x14ac:dyDescent="0.25">
      <c r="A481" s="2">
        <v>45597</v>
      </c>
      <c r="B481">
        <v>72</v>
      </c>
      <c r="C481">
        <v>12</v>
      </c>
      <c r="D481">
        <v>474.28</v>
      </c>
      <c r="E481">
        <v>1</v>
      </c>
      <c r="F481">
        <v>1097.5999999999999</v>
      </c>
      <c r="G481" t="s">
        <v>28</v>
      </c>
      <c r="H481" t="s">
        <v>39</v>
      </c>
      <c r="I481" t="s">
        <v>45</v>
      </c>
    </row>
    <row r="482" spans="1:9" x14ac:dyDescent="0.25">
      <c r="A482" s="2">
        <v>45597</v>
      </c>
      <c r="B482">
        <v>96</v>
      </c>
      <c r="C482">
        <v>16</v>
      </c>
      <c r="D482">
        <v>161.69</v>
      </c>
      <c r="E482">
        <v>5</v>
      </c>
      <c r="F482">
        <v>392.05</v>
      </c>
      <c r="G482" t="s">
        <v>27</v>
      </c>
      <c r="H482" t="s">
        <v>39</v>
      </c>
      <c r="I482" t="s">
        <v>45</v>
      </c>
    </row>
    <row r="483" spans="1:9" x14ac:dyDescent="0.25">
      <c r="A483" s="2">
        <v>45597</v>
      </c>
      <c r="B483">
        <v>26</v>
      </c>
      <c r="C483">
        <v>17</v>
      </c>
      <c r="D483">
        <v>504.54</v>
      </c>
      <c r="E483">
        <v>8</v>
      </c>
      <c r="F483">
        <v>3359.77</v>
      </c>
      <c r="G483" t="s">
        <v>26</v>
      </c>
      <c r="H483" t="s">
        <v>42</v>
      </c>
      <c r="I483" t="s">
        <v>45</v>
      </c>
    </row>
    <row r="484" spans="1:9" x14ac:dyDescent="0.25">
      <c r="A484" s="2">
        <v>45597</v>
      </c>
      <c r="B484">
        <v>81</v>
      </c>
      <c r="C484">
        <v>7</v>
      </c>
      <c r="D484">
        <v>79.62</v>
      </c>
      <c r="E484">
        <v>7</v>
      </c>
      <c r="F484">
        <v>3892.76</v>
      </c>
      <c r="G484" t="s">
        <v>25</v>
      </c>
      <c r="H484" t="s">
        <v>35</v>
      </c>
      <c r="I484" t="s">
        <v>46</v>
      </c>
    </row>
    <row r="485" spans="1:9" x14ac:dyDescent="0.25">
      <c r="A485" s="2">
        <v>45597</v>
      </c>
      <c r="B485">
        <v>100</v>
      </c>
      <c r="C485">
        <v>6</v>
      </c>
      <c r="D485">
        <v>153.34</v>
      </c>
      <c r="E485">
        <v>3</v>
      </c>
      <c r="F485">
        <v>1248.54</v>
      </c>
      <c r="G485" t="s">
        <v>24</v>
      </c>
      <c r="H485" t="s">
        <v>40</v>
      </c>
      <c r="I485" t="s">
        <v>46</v>
      </c>
    </row>
    <row r="486" spans="1:9" x14ac:dyDescent="0.25">
      <c r="A486" s="2">
        <v>45597</v>
      </c>
      <c r="B486">
        <v>65</v>
      </c>
      <c r="C486">
        <v>9</v>
      </c>
      <c r="D486">
        <v>220.46</v>
      </c>
      <c r="E486">
        <v>3</v>
      </c>
      <c r="F486">
        <v>707.75</v>
      </c>
      <c r="G486" t="s">
        <v>23</v>
      </c>
      <c r="H486" t="s">
        <v>38</v>
      </c>
      <c r="I486" t="s">
        <v>46</v>
      </c>
    </row>
    <row r="487" spans="1:9" x14ac:dyDescent="0.25">
      <c r="A487" s="2">
        <v>45597</v>
      </c>
      <c r="B487">
        <v>30</v>
      </c>
      <c r="C487">
        <v>6</v>
      </c>
      <c r="D487">
        <v>209.84</v>
      </c>
      <c r="E487">
        <v>1</v>
      </c>
      <c r="F487">
        <v>3534.1</v>
      </c>
      <c r="G487" t="s">
        <v>22</v>
      </c>
      <c r="H487" t="s">
        <v>41</v>
      </c>
      <c r="I487" t="s">
        <v>45</v>
      </c>
    </row>
    <row r="488" spans="1:9" x14ac:dyDescent="0.25">
      <c r="A488" s="2">
        <v>45597</v>
      </c>
      <c r="B488">
        <v>59</v>
      </c>
      <c r="C488">
        <v>21</v>
      </c>
      <c r="D488">
        <v>633.37</v>
      </c>
      <c r="E488">
        <v>2</v>
      </c>
      <c r="F488">
        <v>358.29</v>
      </c>
      <c r="G488" t="s">
        <v>21</v>
      </c>
      <c r="H488" t="s">
        <v>44</v>
      </c>
      <c r="I488" t="s">
        <v>45</v>
      </c>
    </row>
    <row r="489" spans="1:9" x14ac:dyDescent="0.25">
      <c r="A489" s="2">
        <v>45597</v>
      </c>
      <c r="B489">
        <v>32</v>
      </c>
      <c r="C489">
        <v>7</v>
      </c>
      <c r="D489">
        <v>563.41999999999996</v>
      </c>
      <c r="E489">
        <v>6</v>
      </c>
      <c r="F489">
        <v>3543.71</v>
      </c>
      <c r="G489" t="s">
        <v>20</v>
      </c>
      <c r="H489" t="s">
        <v>42</v>
      </c>
      <c r="I489" t="s">
        <v>46</v>
      </c>
    </row>
    <row r="490" spans="1:9" x14ac:dyDescent="0.25">
      <c r="A490" s="2">
        <v>45597</v>
      </c>
      <c r="B490">
        <v>23</v>
      </c>
      <c r="C490">
        <v>7</v>
      </c>
      <c r="D490">
        <v>190.12</v>
      </c>
      <c r="E490">
        <v>4</v>
      </c>
      <c r="F490">
        <v>788.65</v>
      </c>
      <c r="G490" t="s">
        <v>19</v>
      </c>
      <c r="H490" t="s">
        <v>35</v>
      </c>
      <c r="I490" t="s">
        <v>45</v>
      </c>
    </row>
    <row r="491" spans="1:9" x14ac:dyDescent="0.25">
      <c r="A491" s="2">
        <v>45597</v>
      </c>
      <c r="B491">
        <v>74</v>
      </c>
      <c r="C491">
        <v>13</v>
      </c>
      <c r="D491">
        <v>324.77999999999997</v>
      </c>
      <c r="E491">
        <v>7</v>
      </c>
      <c r="F491">
        <v>995.6</v>
      </c>
      <c r="G491" t="s">
        <v>18</v>
      </c>
      <c r="H491" t="s">
        <v>40</v>
      </c>
      <c r="I491" t="s">
        <v>45</v>
      </c>
    </row>
    <row r="492" spans="1:9" x14ac:dyDescent="0.25">
      <c r="A492" s="2">
        <v>45597</v>
      </c>
      <c r="B492">
        <v>30</v>
      </c>
      <c r="C492">
        <v>21</v>
      </c>
      <c r="D492">
        <v>372.34</v>
      </c>
      <c r="E492">
        <v>7</v>
      </c>
      <c r="F492">
        <v>1172.04</v>
      </c>
      <c r="G492" t="s">
        <v>17</v>
      </c>
      <c r="H492" t="s">
        <v>43</v>
      </c>
      <c r="I492" t="s">
        <v>46</v>
      </c>
    </row>
    <row r="493" spans="1:9" x14ac:dyDescent="0.25">
      <c r="A493" s="2">
        <v>45597</v>
      </c>
      <c r="B493">
        <v>50</v>
      </c>
      <c r="C493">
        <v>9</v>
      </c>
      <c r="D493">
        <v>237.95</v>
      </c>
      <c r="E493">
        <v>5</v>
      </c>
      <c r="F493">
        <v>3982.36</v>
      </c>
      <c r="G493" t="s">
        <v>16</v>
      </c>
      <c r="H493" t="s">
        <v>40</v>
      </c>
      <c r="I493" t="s">
        <v>46</v>
      </c>
    </row>
    <row r="494" spans="1:9" x14ac:dyDescent="0.25">
      <c r="A494" s="2">
        <v>45597</v>
      </c>
      <c r="B494">
        <v>53</v>
      </c>
      <c r="C494">
        <v>17</v>
      </c>
      <c r="D494">
        <v>404.22</v>
      </c>
      <c r="E494">
        <v>2</v>
      </c>
      <c r="F494">
        <v>3669.4</v>
      </c>
      <c r="G494" t="s">
        <v>11</v>
      </c>
      <c r="H494" t="s">
        <v>39</v>
      </c>
      <c r="I494" t="s">
        <v>46</v>
      </c>
    </row>
    <row r="495" spans="1:9" x14ac:dyDescent="0.25">
      <c r="A495" s="2">
        <v>45597</v>
      </c>
      <c r="B495">
        <v>74</v>
      </c>
      <c r="C495">
        <v>17</v>
      </c>
      <c r="D495">
        <v>284.91000000000003</v>
      </c>
      <c r="E495">
        <v>3</v>
      </c>
      <c r="F495">
        <v>2481.64</v>
      </c>
      <c r="G495" t="s">
        <v>15</v>
      </c>
      <c r="H495" t="s">
        <v>43</v>
      </c>
      <c r="I495" t="s">
        <v>46</v>
      </c>
    </row>
    <row r="496" spans="1:9" x14ac:dyDescent="0.25">
      <c r="A496" s="2">
        <v>45597</v>
      </c>
      <c r="B496">
        <v>76</v>
      </c>
      <c r="C496">
        <v>14</v>
      </c>
      <c r="D496">
        <v>351.42</v>
      </c>
      <c r="E496">
        <v>4</v>
      </c>
      <c r="F496">
        <v>3917.99</v>
      </c>
      <c r="G496" t="s">
        <v>10</v>
      </c>
      <c r="H496" t="s">
        <v>43</v>
      </c>
      <c r="I496" t="s">
        <v>46</v>
      </c>
    </row>
    <row r="497" spans="1:9" x14ac:dyDescent="0.25">
      <c r="A497" s="2">
        <v>45597</v>
      </c>
      <c r="B497">
        <v>52</v>
      </c>
      <c r="C497">
        <v>6</v>
      </c>
      <c r="D497">
        <v>492.23</v>
      </c>
      <c r="E497">
        <v>2</v>
      </c>
      <c r="F497">
        <v>3775.84</v>
      </c>
      <c r="G497" t="s">
        <v>14</v>
      </c>
      <c r="H497" t="s">
        <v>36</v>
      </c>
      <c r="I497" t="s">
        <v>45</v>
      </c>
    </row>
    <row r="498" spans="1:9" x14ac:dyDescent="0.25">
      <c r="A498" s="2">
        <v>45597</v>
      </c>
      <c r="B498">
        <v>67</v>
      </c>
      <c r="C498">
        <v>12</v>
      </c>
      <c r="D498">
        <v>352.6</v>
      </c>
      <c r="E498">
        <v>6</v>
      </c>
      <c r="F498">
        <v>4402.41</v>
      </c>
      <c r="G498" t="s">
        <v>9</v>
      </c>
      <c r="H498" t="s">
        <v>40</v>
      </c>
      <c r="I498" t="s">
        <v>46</v>
      </c>
    </row>
    <row r="499" spans="1:9" x14ac:dyDescent="0.25">
      <c r="A499" s="2">
        <v>45600</v>
      </c>
      <c r="B499">
        <v>98</v>
      </c>
      <c r="C499">
        <v>44</v>
      </c>
      <c r="D499">
        <v>119.6560699205495</v>
      </c>
      <c r="E499">
        <v>20</v>
      </c>
      <c r="F499">
        <v>3323.774584482665</v>
      </c>
      <c r="G499" t="s">
        <v>12</v>
      </c>
      <c r="H499" t="s">
        <v>40</v>
      </c>
      <c r="I499" t="s">
        <v>46</v>
      </c>
    </row>
    <row r="500" spans="1:9" x14ac:dyDescent="0.25">
      <c r="A500" s="2">
        <v>45601</v>
      </c>
      <c r="B500">
        <v>86</v>
      </c>
      <c r="C500">
        <v>42</v>
      </c>
      <c r="D500">
        <v>499.70519945452128</v>
      </c>
      <c r="E500">
        <v>25</v>
      </c>
      <c r="F500">
        <v>4431.5470138385244</v>
      </c>
      <c r="G500" t="s">
        <v>49</v>
      </c>
      <c r="H500" t="s">
        <v>40</v>
      </c>
      <c r="I500" t="s">
        <v>45</v>
      </c>
    </row>
    <row r="501" spans="1:9" x14ac:dyDescent="0.25">
      <c r="A501" s="2">
        <v>45602</v>
      </c>
      <c r="B501">
        <v>98</v>
      </c>
      <c r="C501">
        <v>42</v>
      </c>
      <c r="D501">
        <v>413.95019474545393</v>
      </c>
      <c r="E501">
        <v>35</v>
      </c>
      <c r="F501">
        <v>4928.3756113968284</v>
      </c>
      <c r="G501" t="s">
        <v>49</v>
      </c>
      <c r="H501" t="s">
        <v>36</v>
      </c>
      <c r="I501" t="s">
        <v>46</v>
      </c>
    </row>
    <row r="502" spans="1:9" x14ac:dyDescent="0.25">
      <c r="A502" s="2">
        <v>45603</v>
      </c>
      <c r="B502">
        <v>66</v>
      </c>
      <c r="C502">
        <v>70</v>
      </c>
      <c r="D502">
        <v>140.87951597443589</v>
      </c>
      <c r="E502">
        <v>22</v>
      </c>
      <c r="F502">
        <v>3957.2303623903322</v>
      </c>
      <c r="G502" t="s">
        <v>34</v>
      </c>
      <c r="H502" t="s">
        <v>43</v>
      </c>
      <c r="I502" t="s">
        <v>45</v>
      </c>
    </row>
    <row r="503" spans="1:9" x14ac:dyDescent="0.25">
      <c r="A503" s="2">
        <v>45604</v>
      </c>
      <c r="B503">
        <v>98</v>
      </c>
      <c r="C503">
        <v>60</v>
      </c>
      <c r="D503">
        <v>536.78931205338858</v>
      </c>
      <c r="E503">
        <v>0</v>
      </c>
      <c r="F503">
        <v>2379.950519753002</v>
      </c>
      <c r="G503" t="s">
        <v>49</v>
      </c>
      <c r="H503" t="s">
        <v>43</v>
      </c>
      <c r="I503" t="s">
        <v>45</v>
      </c>
    </row>
    <row r="504" spans="1:9" x14ac:dyDescent="0.25">
      <c r="A504" s="2">
        <v>45607</v>
      </c>
      <c r="B504">
        <v>51</v>
      </c>
      <c r="C504">
        <v>52</v>
      </c>
      <c r="D504">
        <v>560.43620026590656</v>
      </c>
      <c r="E504">
        <v>39</v>
      </c>
      <c r="F504">
        <v>2396.106510246816</v>
      </c>
      <c r="G504" t="s">
        <v>9</v>
      </c>
      <c r="H504" t="s">
        <v>44</v>
      </c>
      <c r="I504" t="s">
        <v>46</v>
      </c>
    </row>
    <row r="505" spans="1:9" x14ac:dyDescent="0.25">
      <c r="A505" s="2">
        <v>45608</v>
      </c>
      <c r="B505">
        <v>51</v>
      </c>
      <c r="C505">
        <v>21</v>
      </c>
      <c r="D505">
        <v>130.53897992743191</v>
      </c>
      <c r="E505">
        <v>14</v>
      </c>
      <c r="F505">
        <v>3819.1203571500118</v>
      </c>
      <c r="G505" t="s">
        <v>48</v>
      </c>
      <c r="H505" t="s">
        <v>37</v>
      </c>
      <c r="I505" t="s">
        <v>46</v>
      </c>
    </row>
    <row r="506" spans="1:9" x14ac:dyDescent="0.25">
      <c r="A506" s="2">
        <v>45609</v>
      </c>
      <c r="B506">
        <v>77</v>
      </c>
      <c r="C506">
        <v>76</v>
      </c>
      <c r="D506">
        <v>238.43882407360189</v>
      </c>
      <c r="E506">
        <v>20</v>
      </c>
      <c r="F506">
        <v>1574.497155957361</v>
      </c>
      <c r="G506" t="s">
        <v>47</v>
      </c>
      <c r="H506" t="s">
        <v>43</v>
      </c>
      <c r="I506" t="s">
        <v>46</v>
      </c>
    </row>
    <row r="507" spans="1:9" x14ac:dyDescent="0.25">
      <c r="A507" s="2">
        <v>45610</v>
      </c>
      <c r="B507">
        <v>72</v>
      </c>
      <c r="C507">
        <v>74</v>
      </c>
      <c r="D507">
        <v>503.10063989653071</v>
      </c>
      <c r="E507">
        <v>8</v>
      </c>
      <c r="F507">
        <v>997.13350909127598</v>
      </c>
      <c r="G507" t="s">
        <v>18</v>
      </c>
      <c r="H507" t="s">
        <v>43</v>
      </c>
      <c r="I507" t="s">
        <v>46</v>
      </c>
    </row>
    <row r="508" spans="1:9" x14ac:dyDescent="0.25">
      <c r="A508" s="2">
        <v>45611</v>
      </c>
      <c r="B508">
        <v>86</v>
      </c>
      <c r="C508">
        <v>42</v>
      </c>
      <c r="D508">
        <v>474.12984519182919</v>
      </c>
      <c r="E508">
        <v>8</v>
      </c>
      <c r="F508">
        <v>2095.7997093834952</v>
      </c>
      <c r="G508" t="s">
        <v>9</v>
      </c>
      <c r="H508" t="s">
        <v>35</v>
      </c>
      <c r="I508" t="s">
        <v>46</v>
      </c>
    </row>
    <row r="509" spans="1:9" x14ac:dyDescent="0.25">
      <c r="A509" s="2">
        <v>45614</v>
      </c>
      <c r="B509">
        <v>81</v>
      </c>
      <c r="C509">
        <v>49</v>
      </c>
      <c r="D509">
        <v>192.2605096781887</v>
      </c>
      <c r="E509">
        <v>9</v>
      </c>
      <c r="F509">
        <v>1792.575462443368</v>
      </c>
      <c r="G509" t="s">
        <v>47</v>
      </c>
      <c r="H509" t="s">
        <v>35</v>
      </c>
      <c r="I509" t="s">
        <v>46</v>
      </c>
    </row>
    <row r="510" spans="1:9" x14ac:dyDescent="0.25">
      <c r="A510" s="2">
        <v>45615</v>
      </c>
      <c r="B510">
        <v>82</v>
      </c>
      <c r="C510">
        <v>52</v>
      </c>
      <c r="D510">
        <v>204.67466166835521</v>
      </c>
      <c r="E510">
        <v>25</v>
      </c>
      <c r="F510">
        <v>1833.3865420519551</v>
      </c>
      <c r="G510" t="s">
        <v>12</v>
      </c>
      <c r="H510" t="s">
        <v>42</v>
      </c>
      <c r="I510" t="s">
        <v>46</v>
      </c>
    </row>
    <row r="511" spans="1:9" x14ac:dyDescent="0.25">
      <c r="A511" s="2">
        <v>45616</v>
      </c>
      <c r="B511">
        <v>50</v>
      </c>
      <c r="C511">
        <v>53</v>
      </c>
      <c r="D511">
        <v>285.23605139569099</v>
      </c>
      <c r="E511">
        <v>34</v>
      </c>
      <c r="F511">
        <v>1551.234879724595</v>
      </c>
      <c r="G511" t="s">
        <v>12</v>
      </c>
      <c r="H511" t="s">
        <v>38</v>
      </c>
      <c r="I511" t="s">
        <v>45</v>
      </c>
    </row>
    <row r="512" spans="1:9" x14ac:dyDescent="0.25">
      <c r="A512" s="2">
        <v>45617</v>
      </c>
      <c r="B512">
        <v>68</v>
      </c>
      <c r="C512">
        <v>38</v>
      </c>
      <c r="D512">
        <v>342.26149259551067</v>
      </c>
      <c r="E512">
        <v>24</v>
      </c>
      <c r="F512">
        <v>689.41935336362849</v>
      </c>
      <c r="G512" t="s">
        <v>12</v>
      </c>
      <c r="H512" t="s">
        <v>38</v>
      </c>
      <c r="I512" t="s">
        <v>45</v>
      </c>
    </row>
    <row r="513" spans="1:9" x14ac:dyDescent="0.25">
      <c r="A513" s="2">
        <v>45618</v>
      </c>
      <c r="B513">
        <v>51</v>
      </c>
      <c r="C513">
        <v>22</v>
      </c>
      <c r="D513">
        <v>409.12738576514801</v>
      </c>
      <c r="E513">
        <v>25</v>
      </c>
      <c r="F513">
        <v>580.43270630036216</v>
      </c>
      <c r="G513" t="s">
        <v>9</v>
      </c>
      <c r="H513" t="s">
        <v>36</v>
      </c>
      <c r="I513" t="s">
        <v>45</v>
      </c>
    </row>
    <row r="514" spans="1:9" x14ac:dyDescent="0.25">
      <c r="A514" s="2">
        <v>45621</v>
      </c>
      <c r="B514">
        <v>93</v>
      </c>
      <c r="C514">
        <v>21</v>
      </c>
      <c r="D514">
        <v>284.45681978488619</v>
      </c>
      <c r="E514">
        <v>10</v>
      </c>
      <c r="F514">
        <v>4944.7507538121417</v>
      </c>
      <c r="G514" t="s">
        <v>9</v>
      </c>
      <c r="H514" t="s">
        <v>38</v>
      </c>
      <c r="I514" t="s">
        <v>45</v>
      </c>
    </row>
    <row r="515" spans="1:9" x14ac:dyDescent="0.25">
      <c r="A515" s="2">
        <v>45622</v>
      </c>
      <c r="B515">
        <v>75</v>
      </c>
      <c r="C515">
        <v>55</v>
      </c>
      <c r="D515">
        <v>331.26735806657388</v>
      </c>
      <c r="E515">
        <v>37</v>
      </c>
      <c r="F515">
        <v>2424.979101811381</v>
      </c>
      <c r="G515" t="s">
        <v>18</v>
      </c>
      <c r="H515" t="s">
        <v>44</v>
      </c>
      <c r="I515" t="s">
        <v>45</v>
      </c>
    </row>
    <row r="516" spans="1:9" x14ac:dyDescent="0.25">
      <c r="A516" s="2">
        <v>45623</v>
      </c>
      <c r="B516">
        <v>81</v>
      </c>
      <c r="C516">
        <v>11</v>
      </c>
      <c r="D516">
        <v>473.7354690668783</v>
      </c>
      <c r="E516">
        <v>1</v>
      </c>
      <c r="F516">
        <v>2229.469912218568</v>
      </c>
      <c r="G516" t="s">
        <v>48</v>
      </c>
      <c r="H516" t="s">
        <v>36</v>
      </c>
      <c r="I516" t="s">
        <v>46</v>
      </c>
    </row>
    <row r="517" spans="1:9" x14ac:dyDescent="0.25">
      <c r="A517" s="2">
        <v>45624</v>
      </c>
      <c r="B517">
        <v>55</v>
      </c>
      <c r="C517">
        <v>44</v>
      </c>
      <c r="D517">
        <v>118.34160144529891</v>
      </c>
      <c r="E517">
        <v>6</v>
      </c>
      <c r="F517">
        <v>3558.4127721188138</v>
      </c>
      <c r="G517" t="s">
        <v>10</v>
      </c>
      <c r="H517" t="s">
        <v>42</v>
      </c>
      <c r="I517" t="s">
        <v>45</v>
      </c>
    </row>
    <row r="518" spans="1:9" x14ac:dyDescent="0.25">
      <c r="A518" s="2">
        <v>45625</v>
      </c>
      <c r="B518">
        <v>81</v>
      </c>
      <c r="C518">
        <v>17</v>
      </c>
      <c r="D518">
        <v>226.21847217201039</v>
      </c>
      <c r="E518">
        <v>17</v>
      </c>
      <c r="F518">
        <v>1482.142495392789</v>
      </c>
      <c r="G518" t="s">
        <v>49</v>
      </c>
      <c r="H518" t="s">
        <v>35</v>
      </c>
      <c r="I518" t="s">
        <v>45</v>
      </c>
    </row>
    <row r="519" spans="1:9" x14ac:dyDescent="0.25">
      <c r="A519" s="2">
        <v>45627</v>
      </c>
      <c r="B519">
        <v>39</v>
      </c>
      <c r="C519">
        <v>15</v>
      </c>
      <c r="D519">
        <v>319.08999999999997</v>
      </c>
      <c r="E519">
        <v>7</v>
      </c>
      <c r="F519">
        <v>4573.5</v>
      </c>
      <c r="G519" t="s">
        <v>34</v>
      </c>
      <c r="H519" t="s">
        <v>43</v>
      </c>
      <c r="I519" t="s">
        <v>46</v>
      </c>
    </row>
    <row r="520" spans="1:9" x14ac:dyDescent="0.25">
      <c r="A520" s="2">
        <v>45627</v>
      </c>
      <c r="B520">
        <v>32</v>
      </c>
      <c r="C520">
        <v>10</v>
      </c>
      <c r="D520">
        <v>500.83</v>
      </c>
      <c r="E520">
        <v>4</v>
      </c>
      <c r="F520">
        <v>239.13</v>
      </c>
      <c r="G520" t="s">
        <v>33</v>
      </c>
      <c r="H520" t="s">
        <v>44</v>
      </c>
      <c r="I520" t="s">
        <v>46</v>
      </c>
    </row>
    <row r="521" spans="1:9" x14ac:dyDescent="0.25">
      <c r="A521" s="2">
        <v>45627</v>
      </c>
      <c r="B521">
        <v>61</v>
      </c>
      <c r="C521">
        <v>13</v>
      </c>
      <c r="D521">
        <v>356.61</v>
      </c>
      <c r="E521">
        <v>7</v>
      </c>
      <c r="F521">
        <v>4099.6400000000003</v>
      </c>
      <c r="G521" t="s">
        <v>9</v>
      </c>
      <c r="H521" t="s">
        <v>39</v>
      </c>
      <c r="I521" t="s">
        <v>46</v>
      </c>
    </row>
    <row r="522" spans="1:9" x14ac:dyDescent="0.25">
      <c r="A522" s="2">
        <v>45627</v>
      </c>
      <c r="B522">
        <v>84</v>
      </c>
      <c r="C522">
        <v>14</v>
      </c>
      <c r="D522">
        <v>370.36</v>
      </c>
      <c r="E522">
        <v>0</v>
      </c>
      <c r="F522">
        <v>2605.02</v>
      </c>
      <c r="G522" t="s">
        <v>32</v>
      </c>
      <c r="H522" t="s">
        <v>36</v>
      </c>
      <c r="I522" t="s">
        <v>45</v>
      </c>
    </row>
    <row r="523" spans="1:9" x14ac:dyDescent="0.25">
      <c r="A523" s="2">
        <v>45627</v>
      </c>
      <c r="B523">
        <v>94</v>
      </c>
      <c r="C523">
        <v>6</v>
      </c>
      <c r="D523">
        <v>537.26</v>
      </c>
      <c r="E523">
        <v>1</v>
      </c>
      <c r="F523">
        <v>3665.55</v>
      </c>
      <c r="G523" t="s">
        <v>30</v>
      </c>
      <c r="H523" t="s">
        <v>36</v>
      </c>
      <c r="I523" t="s">
        <v>45</v>
      </c>
    </row>
    <row r="524" spans="1:9" x14ac:dyDescent="0.25">
      <c r="A524" s="2">
        <v>45627</v>
      </c>
      <c r="B524">
        <v>21</v>
      </c>
      <c r="C524">
        <v>17</v>
      </c>
      <c r="D524">
        <v>297.83999999999997</v>
      </c>
      <c r="E524">
        <v>1</v>
      </c>
      <c r="F524">
        <v>1553.7</v>
      </c>
      <c r="G524" t="s">
        <v>29</v>
      </c>
      <c r="H524" t="s">
        <v>41</v>
      </c>
      <c r="I524" t="s">
        <v>46</v>
      </c>
    </row>
    <row r="525" spans="1:9" x14ac:dyDescent="0.25">
      <c r="A525" s="2">
        <v>45627</v>
      </c>
      <c r="B525">
        <v>74</v>
      </c>
      <c r="C525">
        <v>14</v>
      </c>
      <c r="D525">
        <v>508.85</v>
      </c>
      <c r="E525">
        <v>1</v>
      </c>
      <c r="F525">
        <v>1182.6300000000001</v>
      </c>
      <c r="G525" t="s">
        <v>28</v>
      </c>
      <c r="H525" t="s">
        <v>43</v>
      </c>
      <c r="I525" t="s">
        <v>46</v>
      </c>
    </row>
    <row r="526" spans="1:9" x14ac:dyDescent="0.25">
      <c r="A526" s="2">
        <v>45627</v>
      </c>
      <c r="B526">
        <v>99</v>
      </c>
      <c r="C526">
        <v>15</v>
      </c>
      <c r="D526">
        <v>181.12</v>
      </c>
      <c r="E526">
        <v>5</v>
      </c>
      <c r="F526">
        <v>454.09</v>
      </c>
      <c r="G526" t="s">
        <v>27</v>
      </c>
      <c r="H526" t="s">
        <v>40</v>
      </c>
      <c r="I526" t="s">
        <v>46</v>
      </c>
    </row>
    <row r="527" spans="1:9" x14ac:dyDescent="0.25">
      <c r="A527" s="2">
        <v>45627</v>
      </c>
      <c r="B527">
        <v>26</v>
      </c>
      <c r="C527">
        <v>13</v>
      </c>
      <c r="D527">
        <v>543.15</v>
      </c>
      <c r="E527">
        <v>6</v>
      </c>
      <c r="F527">
        <v>3793.56</v>
      </c>
      <c r="G527" t="s">
        <v>26</v>
      </c>
      <c r="H527" t="s">
        <v>43</v>
      </c>
      <c r="I527" t="s">
        <v>45</v>
      </c>
    </row>
    <row r="528" spans="1:9" x14ac:dyDescent="0.25">
      <c r="A528" s="2">
        <v>45627</v>
      </c>
      <c r="B528">
        <v>74</v>
      </c>
      <c r="C528">
        <v>6</v>
      </c>
      <c r="D528">
        <v>87.83</v>
      </c>
      <c r="E528">
        <v>6</v>
      </c>
      <c r="F528">
        <v>3741.27</v>
      </c>
      <c r="G528" t="s">
        <v>25</v>
      </c>
      <c r="H528" t="s">
        <v>35</v>
      </c>
      <c r="I528" t="s">
        <v>45</v>
      </c>
    </row>
    <row r="529" spans="1:9" x14ac:dyDescent="0.25">
      <c r="A529" s="2">
        <v>45627</v>
      </c>
      <c r="B529">
        <v>88</v>
      </c>
      <c r="C529">
        <v>5</v>
      </c>
      <c r="D529">
        <v>168.89</v>
      </c>
      <c r="E529">
        <v>3</v>
      </c>
      <c r="F529">
        <v>1153.93</v>
      </c>
      <c r="G529" t="s">
        <v>24</v>
      </c>
      <c r="H529" t="s">
        <v>41</v>
      </c>
      <c r="I529" t="s">
        <v>46</v>
      </c>
    </row>
    <row r="530" spans="1:9" x14ac:dyDescent="0.25">
      <c r="A530" s="2">
        <v>45627</v>
      </c>
      <c r="B530">
        <v>57</v>
      </c>
      <c r="C530">
        <v>7</v>
      </c>
      <c r="D530">
        <v>190.08</v>
      </c>
      <c r="E530">
        <v>2</v>
      </c>
      <c r="F530">
        <v>649.97</v>
      </c>
      <c r="G530" t="s">
        <v>23</v>
      </c>
      <c r="H530" t="s">
        <v>35</v>
      </c>
      <c r="I530" t="s">
        <v>45</v>
      </c>
    </row>
    <row r="531" spans="1:9" x14ac:dyDescent="0.25">
      <c r="A531" s="2">
        <v>45627</v>
      </c>
      <c r="B531">
        <v>31</v>
      </c>
      <c r="C531">
        <v>6</v>
      </c>
      <c r="D531">
        <v>191.66</v>
      </c>
      <c r="E531">
        <v>2</v>
      </c>
      <c r="F531">
        <v>3753.06</v>
      </c>
      <c r="G531" t="s">
        <v>22</v>
      </c>
      <c r="H531" t="s">
        <v>36</v>
      </c>
      <c r="I531" t="s">
        <v>45</v>
      </c>
    </row>
    <row r="532" spans="1:9" x14ac:dyDescent="0.25">
      <c r="A532" s="2">
        <v>45627</v>
      </c>
      <c r="B532">
        <v>77</v>
      </c>
      <c r="C532">
        <v>16</v>
      </c>
      <c r="D532">
        <v>539.26</v>
      </c>
      <c r="E532">
        <v>3</v>
      </c>
      <c r="F532">
        <v>379.83</v>
      </c>
      <c r="G532" t="s">
        <v>21</v>
      </c>
      <c r="H532" t="s">
        <v>39</v>
      </c>
      <c r="I532" t="s">
        <v>45</v>
      </c>
    </row>
    <row r="533" spans="1:9" x14ac:dyDescent="0.25">
      <c r="A533" s="2">
        <v>45627</v>
      </c>
      <c r="B533">
        <v>83</v>
      </c>
      <c r="C533">
        <v>9</v>
      </c>
      <c r="D533">
        <v>188.49</v>
      </c>
      <c r="E533">
        <v>7</v>
      </c>
      <c r="F533">
        <v>545.09</v>
      </c>
      <c r="G533" t="s">
        <v>31</v>
      </c>
      <c r="H533" t="s">
        <v>36</v>
      </c>
      <c r="I533" t="s">
        <v>45</v>
      </c>
    </row>
    <row r="534" spans="1:9" x14ac:dyDescent="0.25">
      <c r="A534" s="2">
        <v>45627</v>
      </c>
      <c r="B534">
        <v>18</v>
      </c>
      <c r="C534">
        <v>6</v>
      </c>
      <c r="D534">
        <v>212.39</v>
      </c>
      <c r="E534">
        <v>3</v>
      </c>
      <c r="F534">
        <v>730.81</v>
      </c>
      <c r="G534" t="s">
        <v>19</v>
      </c>
      <c r="H534" t="s">
        <v>37</v>
      </c>
      <c r="I534" t="s">
        <v>46</v>
      </c>
    </row>
    <row r="535" spans="1:9" x14ac:dyDescent="0.25">
      <c r="A535" s="2">
        <v>45627</v>
      </c>
      <c r="B535">
        <v>69</v>
      </c>
      <c r="C535">
        <v>16</v>
      </c>
      <c r="D535">
        <v>337.7</v>
      </c>
      <c r="E535">
        <v>9</v>
      </c>
      <c r="F535">
        <v>947.47</v>
      </c>
      <c r="G535" t="s">
        <v>18</v>
      </c>
      <c r="H535" t="s">
        <v>41</v>
      </c>
      <c r="I535" t="s">
        <v>45</v>
      </c>
    </row>
    <row r="536" spans="1:9" x14ac:dyDescent="0.25">
      <c r="A536" s="2">
        <v>45627</v>
      </c>
      <c r="B536">
        <v>28</v>
      </c>
      <c r="C536">
        <v>19</v>
      </c>
      <c r="D536">
        <v>352.06</v>
      </c>
      <c r="E536">
        <v>9</v>
      </c>
      <c r="F536">
        <v>1107.51</v>
      </c>
      <c r="G536" t="s">
        <v>17</v>
      </c>
      <c r="H536" t="s">
        <v>44</v>
      </c>
      <c r="I536" t="s">
        <v>45</v>
      </c>
    </row>
    <row r="537" spans="1:9" x14ac:dyDescent="0.25">
      <c r="A537" s="2">
        <v>45627</v>
      </c>
      <c r="B537">
        <v>50</v>
      </c>
      <c r="C537">
        <v>6</v>
      </c>
      <c r="D537">
        <v>219.19</v>
      </c>
      <c r="E537">
        <v>4</v>
      </c>
      <c r="F537">
        <v>3836.95</v>
      </c>
      <c r="G537" t="s">
        <v>16</v>
      </c>
      <c r="H537" t="s">
        <v>42</v>
      </c>
      <c r="I537" t="s">
        <v>45</v>
      </c>
    </row>
    <row r="538" spans="1:9" x14ac:dyDescent="0.25">
      <c r="A538" s="2">
        <v>45627</v>
      </c>
      <c r="B538">
        <v>84</v>
      </c>
      <c r="C538">
        <v>19</v>
      </c>
      <c r="D538">
        <v>301.2</v>
      </c>
      <c r="E538">
        <v>2</v>
      </c>
      <c r="F538">
        <v>2608.4699999999998</v>
      </c>
      <c r="G538" t="s">
        <v>15</v>
      </c>
      <c r="H538" t="s">
        <v>42</v>
      </c>
      <c r="I538" t="s">
        <v>45</v>
      </c>
    </row>
    <row r="539" spans="1:9" x14ac:dyDescent="0.25">
      <c r="A539" s="2">
        <v>45627</v>
      </c>
      <c r="B539">
        <v>70</v>
      </c>
      <c r="C539">
        <v>6</v>
      </c>
      <c r="D539">
        <v>488.97</v>
      </c>
      <c r="E539">
        <v>3</v>
      </c>
      <c r="F539">
        <v>3767.09</v>
      </c>
      <c r="G539" t="s">
        <v>14</v>
      </c>
      <c r="H539" t="s">
        <v>39</v>
      </c>
      <c r="I539" t="s">
        <v>46</v>
      </c>
    </row>
    <row r="540" spans="1:9" x14ac:dyDescent="0.25">
      <c r="A540" s="2">
        <v>45627</v>
      </c>
      <c r="B540">
        <v>101</v>
      </c>
      <c r="C540">
        <v>14</v>
      </c>
      <c r="D540">
        <v>503.93</v>
      </c>
      <c r="E540">
        <v>5</v>
      </c>
      <c r="F540">
        <v>1116.6099999999999</v>
      </c>
      <c r="G540" t="s">
        <v>13</v>
      </c>
      <c r="H540" t="s">
        <v>43</v>
      </c>
      <c r="I540" t="s">
        <v>46</v>
      </c>
    </row>
    <row r="541" spans="1:9" x14ac:dyDescent="0.25">
      <c r="A541" s="2">
        <v>45627</v>
      </c>
      <c r="B541">
        <v>20</v>
      </c>
      <c r="C541">
        <v>5</v>
      </c>
      <c r="D541">
        <v>71.41</v>
      </c>
      <c r="E541">
        <v>3</v>
      </c>
      <c r="F541">
        <v>1527.27</v>
      </c>
      <c r="G541" t="s">
        <v>12</v>
      </c>
      <c r="H541" t="s">
        <v>40</v>
      </c>
      <c r="I541" t="s">
        <v>45</v>
      </c>
    </row>
    <row r="542" spans="1:9" x14ac:dyDescent="0.25">
      <c r="A542" s="2">
        <v>45627</v>
      </c>
      <c r="B542">
        <v>51</v>
      </c>
      <c r="C542">
        <v>14</v>
      </c>
      <c r="D542">
        <v>419.93</v>
      </c>
      <c r="E542">
        <v>2</v>
      </c>
      <c r="F542">
        <v>3543.6</v>
      </c>
      <c r="G542" t="s">
        <v>11</v>
      </c>
      <c r="H542" t="s">
        <v>39</v>
      </c>
      <c r="I542" t="s">
        <v>46</v>
      </c>
    </row>
    <row r="543" spans="1:9" x14ac:dyDescent="0.25">
      <c r="A543" s="2">
        <v>45627</v>
      </c>
      <c r="B543">
        <v>40</v>
      </c>
      <c r="C543">
        <v>7</v>
      </c>
      <c r="D543">
        <v>486.93</v>
      </c>
      <c r="E543">
        <v>7</v>
      </c>
      <c r="F543">
        <v>3643.63</v>
      </c>
      <c r="G543" t="s">
        <v>20</v>
      </c>
      <c r="H543" t="s">
        <v>44</v>
      </c>
      <c r="I543" t="s">
        <v>45</v>
      </c>
    </row>
    <row r="544" spans="1:9" x14ac:dyDescent="0.25">
      <c r="A544" s="2">
        <v>45627</v>
      </c>
      <c r="B544">
        <v>80</v>
      </c>
      <c r="C544">
        <v>13</v>
      </c>
      <c r="D544">
        <v>369.46</v>
      </c>
      <c r="E544">
        <v>4</v>
      </c>
      <c r="F544">
        <v>3996.04</v>
      </c>
      <c r="G544" t="s">
        <v>10</v>
      </c>
      <c r="H544" t="s">
        <v>35</v>
      </c>
      <c r="I544" t="s">
        <v>45</v>
      </c>
    </row>
    <row r="545" spans="1:9" x14ac:dyDescent="0.25">
      <c r="A545" s="2">
        <v>45628</v>
      </c>
      <c r="B545">
        <v>53</v>
      </c>
      <c r="C545">
        <v>35</v>
      </c>
      <c r="D545">
        <v>456.67479294227621</v>
      </c>
      <c r="E545">
        <v>26</v>
      </c>
      <c r="F545">
        <v>4774.8253277760141</v>
      </c>
      <c r="G545" t="s">
        <v>12</v>
      </c>
      <c r="H545" t="s">
        <v>38</v>
      </c>
      <c r="I545" t="s">
        <v>45</v>
      </c>
    </row>
    <row r="546" spans="1:9" x14ac:dyDescent="0.25">
      <c r="A546" s="2">
        <v>45629</v>
      </c>
      <c r="B546">
        <v>60</v>
      </c>
      <c r="C546">
        <v>43</v>
      </c>
      <c r="D546">
        <v>547.60341884359968</v>
      </c>
      <c r="E546">
        <v>33</v>
      </c>
      <c r="F546">
        <v>4038.5525648699841</v>
      </c>
      <c r="G546" t="s">
        <v>34</v>
      </c>
      <c r="H546" t="s">
        <v>37</v>
      </c>
      <c r="I546" t="s">
        <v>45</v>
      </c>
    </row>
    <row r="547" spans="1:9" x14ac:dyDescent="0.25">
      <c r="A547" s="2">
        <v>45630</v>
      </c>
      <c r="B547">
        <v>66</v>
      </c>
      <c r="C547">
        <v>16</v>
      </c>
      <c r="D547">
        <v>355.83872105783303</v>
      </c>
      <c r="E547">
        <v>26</v>
      </c>
      <c r="F547">
        <v>902.34951040516785</v>
      </c>
      <c r="G547" t="s">
        <v>48</v>
      </c>
      <c r="H547" t="s">
        <v>35</v>
      </c>
      <c r="I547" t="s">
        <v>45</v>
      </c>
    </row>
    <row r="548" spans="1:9" x14ac:dyDescent="0.25">
      <c r="A548" s="2">
        <v>45631</v>
      </c>
      <c r="B548">
        <v>87</v>
      </c>
      <c r="C548">
        <v>77</v>
      </c>
      <c r="D548">
        <v>366.0567426326578</v>
      </c>
      <c r="E548">
        <v>16</v>
      </c>
      <c r="F548">
        <v>2379.113491032178</v>
      </c>
      <c r="G548" t="s">
        <v>34</v>
      </c>
      <c r="H548" t="s">
        <v>40</v>
      </c>
      <c r="I548" t="s">
        <v>45</v>
      </c>
    </row>
    <row r="549" spans="1:9" x14ac:dyDescent="0.25">
      <c r="A549" s="2">
        <v>45632</v>
      </c>
      <c r="B549">
        <v>73</v>
      </c>
      <c r="C549">
        <v>67</v>
      </c>
      <c r="D549">
        <v>153.58600566988801</v>
      </c>
      <c r="E549">
        <v>23</v>
      </c>
      <c r="F549">
        <v>4456.0323840297406</v>
      </c>
      <c r="G549" t="s">
        <v>18</v>
      </c>
      <c r="H549" t="s">
        <v>44</v>
      </c>
      <c r="I549" t="s">
        <v>45</v>
      </c>
    </row>
    <row r="550" spans="1:9" x14ac:dyDescent="0.25">
      <c r="A550" s="2">
        <v>45635</v>
      </c>
      <c r="B550">
        <v>54</v>
      </c>
      <c r="C550">
        <v>38</v>
      </c>
      <c r="D550">
        <v>323.70618341172741</v>
      </c>
      <c r="E550">
        <v>24</v>
      </c>
      <c r="F550">
        <v>4751.2941003113456</v>
      </c>
      <c r="G550" t="s">
        <v>18</v>
      </c>
      <c r="H550" t="s">
        <v>35</v>
      </c>
      <c r="I550" t="s">
        <v>46</v>
      </c>
    </row>
    <row r="551" spans="1:9" x14ac:dyDescent="0.25">
      <c r="A551" s="2">
        <v>45636</v>
      </c>
      <c r="B551">
        <v>83</v>
      </c>
      <c r="C551">
        <v>45</v>
      </c>
      <c r="D551">
        <v>366.30863322751162</v>
      </c>
      <c r="E551">
        <v>6</v>
      </c>
      <c r="F551">
        <v>2603.3068006244139</v>
      </c>
      <c r="G551" t="s">
        <v>18</v>
      </c>
      <c r="H551" t="s">
        <v>44</v>
      </c>
      <c r="I551" t="s">
        <v>46</v>
      </c>
    </row>
    <row r="552" spans="1:9" x14ac:dyDescent="0.25">
      <c r="A552" s="2">
        <v>45637</v>
      </c>
      <c r="B552">
        <v>55</v>
      </c>
      <c r="C552">
        <v>30</v>
      </c>
      <c r="D552">
        <v>221.2352518173648</v>
      </c>
      <c r="E552">
        <v>5</v>
      </c>
      <c r="F552">
        <v>3260.351251448184</v>
      </c>
      <c r="G552" t="s">
        <v>47</v>
      </c>
      <c r="H552" t="s">
        <v>44</v>
      </c>
      <c r="I552" t="s">
        <v>45</v>
      </c>
    </row>
    <row r="553" spans="1:9" x14ac:dyDescent="0.25">
      <c r="A553" s="2">
        <v>45638</v>
      </c>
      <c r="B553">
        <v>71</v>
      </c>
      <c r="C553">
        <v>45</v>
      </c>
      <c r="D553">
        <v>234.62161547469049</v>
      </c>
      <c r="E553">
        <v>23</v>
      </c>
      <c r="F553">
        <v>1251.652757414339</v>
      </c>
      <c r="G553" t="s">
        <v>34</v>
      </c>
      <c r="H553" t="s">
        <v>44</v>
      </c>
      <c r="I553" t="s">
        <v>46</v>
      </c>
    </row>
    <row r="554" spans="1:9" x14ac:dyDescent="0.25">
      <c r="A554" s="2">
        <v>45639</v>
      </c>
      <c r="B554">
        <v>60</v>
      </c>
      <c r="C554">
        <v>19</v>
      </c>
      <c r="D554">
        <v>288.64208155231131</v>
      </c>
      <c r="E554">
        <v>32</v>
      </c>
      <c r="F554">
        <v>4960.2588176163936</v>
      </c>
      <c r="G554" t="s">
        <v>48</v>
      </c>
      <c r="H554" t="s">
        <v>42</v>
      </c>
      <c r="I554" t="s">
        <v>46</v>
      </c>
    </row>
    <row r="555" spans="1:9" x14ac:dyDescent="0.25">
      <c r="A555" s="2">
        <v>45642</v>
      </c>
      <c r="B555">
        <v>97</v>
      </c>
      <c r="C555">
        <v>33</v>
      </c>
      <c r="D555">
        <v>110.03559888886321</v>
      </c>
      <c r="E555">
        <v>28</v>
      </c>
      <c r="F555">
        <v>1542.522656225495</v>
      </c>
      <c r="G555" t="s">
        <v>10</v>
      </c>
      <c r="H555" t="s">
        <v>44</v>
      </c>
      <c r="I555" t="s">
        <v>46</v>
      </c>
    </row>
    <row r="556" spans="1:9" x14ac:dyDescent="0.25">
      <c r="A556" s="2">
        <v>45643</v>
      </c>
      <c r="B556">
        <v>65</v>
      </c>
      <c r="C556">
        <v>73</v>
      </c>
      <c r="D556">
        <v>261.03958279158923</v>
      </c>
      <c r="E556">
        <v>21</v>
      </c>
      <c r="F556">
        <v>4742.2929836080657</v>
      </c>
      <c r="G556" t="s">
        <v>48</v>
      </c>
      <c r="H556" t="s">
        <v>44</v>
      </c>
      <c r="I556" t="s">
        <v>46</v>
      </c>
    </row>
    <row r="557" spans="1:9" x14ac:dyDescent="0.25">
      <c r="A557" s="2">
        <v>45644</v>
      </c>
      <c r="B557">
        <v>82</v>
      </c>
      <c r="C557">
        <v>58</v>
      </c>
      <c r="D557">
        <v>205.72400349827231</v>
      </c>
      <c r="E557">
        <v>25</v>
      </c>
      <c r="F557">
        <v>3423.4099204656582</v>
      </c>
      <c r="G557" t="s">
        <v>9</v>
      </c>
      <c r="H557" t="s">
        <v>40</v>
      </c>
      <c r="I557" t="s">
        <v>45</v>
      </c>
    </row>
    <row r="558" spans="1:9" x14ac:dyDescent="0.25">
      <c r="A558" s="2">
        <v>45645</v>
      </c>
      <c r="B558">
        <v>58</v>
      </c>
      <c r="C558">
        <v>45</v>
      </c>
      <c r="D558">
        <v>263.74867608895732</v>
      </c>
      <c r="E558">
        <v>27</v>
      </c>
      <c r="F558">
        <v>3234.8155769548662</v>
      </c>
      <c r="G558" t="s">
        <v>9</v>
      </c>
      <c r="H558" t="s">
        <v>37</v>
      </c>
      <c r="I558" t="s">
        <v>46</v>
      </c>
    </row>
    <row r="559" spans="1:9" x14ac:dyDescent="0.25">
      <c r="A559" s="2">
        <v>45646</v>
      </c>
      <c r="B559">
        <v>55</v>
      </c>
      <c r="C559">
        <v>33</v>
      </c>
      <c r="D559">
        <v>159.88106590962559</v>
      </c>
      <c r="E559">
        <v>20</v>
      </c>
      <c r="F559">
        <v>2807.0982995742888</v>
      </c>
      <c r="G559" t="s">
        <v>12</v>
      </c>
      <c r="H559" t="s">
        <v>36</v>
      </c>
      <c r="I559" t="s">
        <v>46</v>
      </c>
    </row>
    <row r="560" spans="1:9" x14ac:dyDescent="0.25">
      <c r="A560" s="2">
        <v>45649</v>
      </c>
      <c r="B560">
        <v>65</v>
      </c>
      <c r="C560">
        <v>32</v>
      </c>
      <c r="D560">
        <v>545.26364036994755</v>
      </c>
      <c r="E560">
        <v>6</v>
      </c>
      <c r="F560">
        <v>1538.014152729914</v>
      </c>
      <c r="G560" t="s">
        <v>10</v>
      </c>
      <c r="H560" t="s">
        <v>43</v>
      </c>
      <c r="I560" t="s">
        <v>46</v>
      </c>
    </row>
    <row r="561" spans="1:9" x14ac:dyDescent="0.25">
      <c r="A561" s="2">
        <v>45650</v>
      </c>
      <c r="B561">
        <v>78</v>
      </c>
      <c r="C561">
        <v>71</v>
      </c>
      <c r="D561">
        <v>396.79622677702429</v>
      </c>
      <c r="E561">
        <v>16</v>
      </c>
      <c r="F561">
        <v>1294.376144024787</v>
      </c>
      <c r="G561" t="s">
        <v>9</v>
      </c>
      <c r="H561" t="s">
        <v>40</v>
      </c>
      <c r="I561" t="s">
        <v>45</v>
      </c>
    </row>
    <row r="562" spans="1:9" x14ac:dyDescent="0.25">
      <c r="A562" s="2">
        <v>45651</v>
      </c>
      <c r="B562">
        <v>52</v>
      </c>
      <c r="C562">
        <v>46</v>
      </c>
      <c r="D562">
        <v>439.55115957224479</v>
      </c>
      <c r="E562">
        <v>19</v>
      </c>
      <c r="F562">
        <v>1492.187940815789</v>
      </c>
      <c r="G562" t="s">
        <v>18</v>
      </c>
      <c r="H562" t="s">
        <v>36</v>
      </c>
      <c r="I562" t="s">
        <v>45</v>
      </c>
    </row>
    <row r="563" spans="1:9" x14ac:dyDescent="0.25">
      <c r="A563" s="2">
        <v>45652</v>
      </c>
      <c r="B563">
        <v>69</v>
      </c>
      <c r="C563">
        <v>21</v>
      </c>
      <c r="D563">
        <v>494.58561930366909</v>
      </c>
      <c r="E563">
        <v>19</v>
      </c>
      <c r="F563">
        <v>1338.9721796491449</v>
      </c>
      <c r="G563" t="s">
        <v>48</v>
      </c>
      <c r="H563" t="s">
        <v>44</v>
      </c>
      <c r="I563" t="s">
        <v>45</v>
      </c>
    </row>
    <row r="564" spans="1:9" x14ac:dyDescent="0.25">
      <c r="A564" s="2">
        <v>45653</v>
      </c>
      <c r="B564">
        <v>85</v>
      </c>
      <c r="C564">
        <v>64</v>
      </c>
      <c r="D564">
        <v>349.22109946452861</v>
      </c>
      <c r="E564">
        <v>21</v>
      </c>
      <c r="F564">
        <v>4008.13013105039</v>
      </c>
      <c r="G564" t="s">
        <v>34</v>
      </c>
      <c r="H564" t="s">
        <v>37</v>
      </c>
      <c r="I564" t="s">
        <v>45</v>
      </c>
    </row>
    <row r="565" spans="1:9" x14ac:dyDescent="0.25">
      <c r="A565" s="2">
        <v>45656</v>
      </c>
      <c r="B565">
        <v>68</v>
      </c>
      <c r="C565">
        <v>22</v>
      </c>
      <c r="D565">
        <v>143.46014404371181</v>
      </c>
      <c r="E565">
        <v>27</v>
      </c>
      <c r="F565">
        <v>2075.5636662502861</v>
      </c>
      <c r="G565" t="s">
        <v>18</v>
      </c>
      <c r="H565" t="s">
        <v>35</v>
      </c>
      <c r="I565" t="s">
        <v>45</v>
      </c>
    </row>
    <row r="566" spans="1:9" x14ac:dyDescent="0.25">
      <c r="A566" s="2">
        <v>45657</v>
      </c>
      <c r="B566">
        <v>75</v>
      </c>
      <c r="C566">
        <v>32</v>
      </c>
      <c r="D566">
        <v>368.55327090927392</v>
      </c>
      <c r="E566">
        <v>39</v>
      </c>
      <c r="F566">
        <v>760.29204453528359</v>
      </c>
      <c r="G566" t="s">
        <v>47</v>
      </c>
      <c r="H566" t="s">
        <v>37</v>
      </c>
      <c r="I566"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03A7-4779-4527-96F1-042CF0306E65}">
  <dimension ref="A1:I566"/>
  <sheetViews>
    <sheetView workbookViewId="0">
      <selection activeCell="L4" sqref="L4"/>
    </sheetView>
  </sheetViews>
  <sheetFormatPr defaultRowHeight="15" x14ac:dyDescent="0.25"/>
  <cols>
    <col min="1" max="1" width="17.85546875" bestFit="1" customWidth="1"/>
    <col min="2" max="2" width="14.5703125" bestFit="1" customWidth="1"/>
    <col min="3" max="3" width="17.85546875" bestFit="1" customWidth="1"/>
    <col min="4" max="4" width="26.140625" bestFit="1" customWidth="1"/>
    <col min="5" max="5" width="16.85546875" bestFit="1" customWidth="1"/>
    <col min="6" max="6" width="18.140625" bestFit="1" customWidth="1"/>
    <col min="7" max="7" width="15.140625" bestFit="1" customWidth="1"/>
    <col min="8" max="8" width="14.7109375" bestFit="1" customWidth="1"/>
    <col min="9" max="9" width="12.28515625" bestFit="1" customWidth="1"/>
  </cols>
  <sheetData>
    <row r="1" spans="1:9" x14ac:dyDescent="0.25">
      <c r="A1" s="1" t="s">
        <v>0</v>
      </c>
      <c r="B1" s="1" t="s">
        <v>1</v>
      </c>
      <c r="C1" s="1" t="s">
        <v>2</v>
      </c>
      <c r="D1" s="1" t="s">
        <v>3</v>
      </c>
      <c r="E1" s="1" t="s">
        <v>4</v>
      </c>
      <c r="F1" s="1" t="s">
        <v>5</v>
      </c>
      <c r="G1" s="1" t="s">
        <v>6</v>
      </c>
      <c r="H1" s="1" t="s">
        <v>7</v>
      </c>
      <c r="I1" s="1" t="s">
        <v>8</v>
      </c>
    </row>
    <row r="2" spans="1:9" x14ac:dyDescent="0.25">
      <c r="A2" s="2">
        <v>45292</v>
      </c>
      <c r="B2">
        <v>74</v>
      </c>
      <c r="C2">
        <v>12</v>
      </c>
      <c r="D2" s="3">
        <v>330.42</v>
      </c>
      <c r="E2">
        <v>7</v>
      </c>
      <c r="F2">
        <v>4276.3100000000004</v>
      </c>
      <c r="G2" t="s">
        <v>9</v>
      </c>
      <c r="H2" t="s">
        <v>35</v>
      </c>
      <c r="I2" t="s">
        <v>45</v>
      </c>
    </row>
    <row r="3" spans="1:9" x14ac:dyDescent="0.25">
      <c r="A3" s="2">
        <v>45292</v>
      </c>
      <c r="B3">
        <v>43</v>
      </c>
      <c r="C3">
        <v>15</v>
      </c>
      <c r="D3" s="3">
        <v>363.48</v>
      </c>
      <c r="E3">
        <v>7</v>
      </c>
      <c r="F3">
        <v>3843.52</v>
      </c>
      <c r="G3" t="s">
        <v>34</v>
      </c>
      <c r="H3" t="s">
        <v>43</v>
      </c>
      <c r="I3" t="s">
        <v>46</v>
      </c>
    </row>
    <row r="4" spans="1:9" x14ac:dyDescent="0.25">
      <c r="A4" s="2">
        <v>45292</v>
      </c>
      <c r="B4">
        <v>92</v>
      </c>
      <c r="C4">
        <v>13</v>
      </c>
      <c r="D4" s="3">
        <v>422.39</v>
      </c>
      <c r="E4">
        <v>1</v>
      </c>
      <c r="F4">
        <v>2695.84</v>
      </c>
      <c r="G4" t="s">
        <v>32</v>
      </c>
      <c r="H4" t="s">
        <v>42</v>
      </c>
      <c r="I4" t="s">
        <v>46</v>
      </c>
    </row>
    <row r="5" spans="1:9" x14ac:dyDescent="0.25">
      <c r="A5" s="2">
        <v>45292</v>
      </c>
      <c r="B5">
        <v>63</v>
      </c>
      <c r="C5">
        <v>8</v>
      </c>
      <c r="D5" s="3">
        <v>170.49</v>
      </c>
      <c r="E5">
        <v>7</v>
      </c>
      <c r="F5">
        <v>526.12</v>
      </c>
      <c r="G5" t="s">
        <v>31</v>
      </c>
      <c r="H5" t="s">
        <v>37</v>
      </c>
      <c r="I5" t="s">
        <v>45</v>
      </c>
    </row>
    <row r="6" spans="1:9" x14ac:dyDescent="0.25">
      <c r="A6" s="2">
        <v>45292</v>
      </c>
      <c r="B6">
        <v>96</v>
      </c>
      <c r="C6">
        <v>80</v>
      </c>
      <c r="D6" s="3">
        <v>532.83000000000004</v>
      </c>
      <c r="E6">
        <v>40</v>
      </c>
      <c r="F6">
        <v>3173.13</v>
      </c>
      <c r="G6" t="s">
        <v>30</v>
      </c>
      <c r="H6" t="s">
        <v>37</v>
      </c>
      <c r="I6" t="s">
        <v>46</v>
      </c>
    </row>
    <row r="7" spans="1:9" x14ac:dyDescent="0.25">
      <c r="A7" s="2">
        <v>45292</v>
      </c>
      <c r="B7">
        <v>100</v>
      </c>
      <c r="C7">
        <v>60</v>
      </c>
      <c r="D7" s="3">
        <v>279.95</v>
      </c>
      <c r="E7">
        <v>50</v>
      </c>
      <c r="F7">
        <v>1432.23</v>
      </c>
      <c r="G7" t="s">
        <v>29</v>
      </c>
      <c r="H7" t="s">
        <v>38</v>
      </c>
      <c r="I7" t="s">
        <v>45</v>
      </c>
    </row>
    <row r="8" spans="1:9" x14ac:dyDescent="0.25">
      <c r="A8" s="2">
        <v>45292</v>
      </c>
      <c r="B8">
        <v>73</v>
      </c>
      <c r="C8">
        <v>12</v>
      </c>
      <c r="D8" s="3">
        <v>507.45</v>
      </c>
      <c r="E8">
        <v>0</v>
      </c>
      <c r="F8">
        <v>1123.8399999999999</v>
      </c>
      <c r="G8" t="s">
        <v>28</v>
      </c>
      <c r="H8" t="s">
        <v>39</v>
      </c>
      <c r="I8" t="s">
        <v>45</v>
      </c>
    </row>
    <row r="9" spans="1:9" x14ac:dyDescent="0.25">
      <c r="A9" s="2">
        <v>45292</v>
      </c>
      <c r="B9">
        <v>92</v>
      </c>
      <c r="C9">
        <v>20</v>
      </c>
      <c r="D9" s="3">
        <v>161.41999999999999</v>
      </c>
      <c r="E9">
        <v>4</v>
      </c>
      <c r="F9">
        <v>425.41</v>
      </c>
      <c r="G9" t="s">
        <v>27</v>
      </c>
      <c r="H9" t="s">
        <v>35</v>
      </c>
      <c r="I9" t="s">
        <v>46</v>
      </c>
    </row>
    <row r="10" spans="1:9" x14ac:dyDescent="0.25">
      <c r="A10" s="2">
        <v>45292</v>
      </c>
      <c r="B10">
        <v>31</v>
      </c>
      <c r="C10">
        <v>17</v>
      </c>
      <c r="D10" s="3">
        <v>476.95</v>
      </c>
      <c r="E10">
        <v>7</v>
      </c>
      <c r="F10">
        <v>3945.43</v>
      </c>
      <c r="G10" t="s">
        <v>26</v>
      </c>
      <c r="H10" t="s">
        <v>36</v>
      </c>
      <c r="I10" t="s">
        <v>46</v>
      </c>
    </row>
    <row r="11" spans="1:9" x14ac:dyDescent="0.25">
      <c r="A11" s="2">
        <v>45292</v>
      </c>
      <c r="B11">
        <v>81</v>
      </c>
      <c r="C11">
        <v>7</v>
      </c>
      <c r="D11" s="3">
        <v>82.43</v>
      </c>
      <c r="E11">
        <v>7</v>
      </c>
      <c r="F11">
        <v>3463.96</v>
      </c>
      <c r="G11" t="s">
        <v>25</v>
      </c>
      <c r="H11" t="s">
        <v>38</v>
      </c>
      <c r="I11" t="s">
        <v>45</v>
      </c>
    </row>
    <row r="12" spans="1:9" x14ac:dyDescent="0.25">
      <c r="A12" s="2">
        <v>45292</v>
      </c>
      <c r="B12">
        <v>82</v>
      </c>
      <c r="C12">
        <v>4</v>
      </c>
      <c r="D12" s="3">
        <v>180.06</v>
      </c>
      <c r="E12">
        <v>4</v>
      </c>
      <c r="F12">
        <v>1207.17</v>
      </c>
      <c r="G12" t="s">
        <v>24</v>
      </c>
      <c r="H12" t="s">
        <v>43</v>
      </c>
      <c r="I12" t="s">
        <v>45</v>
      </c>
    </row>
    <row r="13" spans="1:9" x14ac:dyDescent="0.25">
      <c r="A13" s="2">
        <v>45292</v>
      </c>
      <c r="B13">
        <v>54</v>
      </c>
      <c r="C13">
        <v>10</v>
      </c>
      <c r="D13" s="3">
        <v>208.23</v>
      </c>
      <c r="E13">
        <v>3</v>
      </c>
      <c r="F13">
        <v>645.83000000000004</v>
      </c>
      <c r="G13" t="s">
        <v>23</v>
      </c>
      <c r="H13" t="s">
        <v>37</v>
      </c>
      <c r="I13" t="s">
        <v>45</v>
      </c>
    </row>
    <row r="14" spans="1:9" x14ac:dyDescent="0.25">
      <c r="A14" s="2">
        <v>45292</v>
      </c>
      <c r="B14">
        <v>36</v>
      </c>
      <c r="C14">
        <v>9</v>
      </c>
      <c r="D14" s="3">
        <v>216.03</v>
      </c>
      <c r="E14">
        <v>2</v>
      </c>
      <c r="F14">
        <v>4072.07</v>
      </c>
      <c r="G14" t="s">
        <v>22</v>
      </c>
      <c r="H14" t="s">
        <v>41</v>
      </c>
      <c r="I14" t="s">
        <v>45</v>
      </c>
    </row>
    <row r="15" spans="1:9" x14ac:dyDescent="0.25">
      <c r="A15" s="2">
        <v>45292</v>
      </c>
      <c r="B15">
        <v>38</v>
      </c>
      <c r="C15">
        <v>10</v>
      </c>
      <c r="D15" s="3">
        <v>514.25</v>
      </c>
      <c r="E15">
        <v>4</v>
      </c>
      <c r="F15">
        <v>243.62</v>
      </c>
      <c r="G15" t="s">
        <v>33</v>
      </c>
      <c r="H15" t="s">
        <v>39</v>
      </c>
      <c r="I15" t="s">
        <v>45</v>
      </c>
    </row>
    <row r="16" spans="1:9" x14ac:dyDescent="0.25">
      <c r="A16" s="2">
        <v>45292</v>
      </c>
      <c r="B16">
        <v>36</v>
      </c>
      <c r="C16">
        <v>6</v>
      </c>
      <c r="D16" s="3">
        <v>547.6</v>
      </c>
      <c r="E16">
        <v>5</v>
      </c>
      <c r="F16">
        <v>3463.18</v>
      </c>
      <c r="G16" t="s">
        <v>20</v>
      </c>
      <c r="H16" t="s">
        <v>39</v>
      </c>
      <c r="I16" t="s">
        <v>45</v>
      </c>
    </row>
    <row r="17" spans="1:9" x14ac:dyDescent="0.25">
      <c r="A17" s="2">
        <v>45292</v>
      </c>
      <c r="B17">
        <v>18</v>
      </c>
      <c r="C17">
        <v>8</v>
      </c>
      <c r="D17" s="3">
        <v>206.81</v>
      </c>
      <c r="E17">
        <v>7</v>
      </c>
      <c r="F17">
        <v>720.56</v>
      </c>
      <c r="G17" t="s">
        <v>19</v>
      </c>
      <c r="H17" t="s">
        <v>39</v>
      </c>
      <c r="I17" t="s">
        <v>45</v>
      </c>
    </row>
    <row r="18" spans="1:9" x14ac:dyDescent="0.25">
      <c r="A18" s="2">
        <v>45292</v>
      </c>
      <c r="B18">
        <v>59</v>
      </c>
      <c r="C18">
        <v>13</v>
      </c>
      <c r="D18" s="3">
        <v>307.49</v>
      </c>
      <c r="E18">
        <v>10</v>
      </c>
      <c r="F18">
        <v>979.09</v>
      </c>
      <c r="G18" t="s">
        <v>18</v>
      </c>
      <c r="H18" t="s">
        <v>36</v>
      </c>
      <c r="I18" t="s">
        <v>45</v>
      </c>
    </row>
    <row r="19" spans="1:9" x14ac:dyDescent="0.25">
      <c r="A19" s="2">
        <v>45292</v>
      </c>
      <c r="B19">
        <v>34</v>
      </c>
      <c r="C19">
        <v>21</v>
      </c>
      <c r="D19" s="3">
        <v>362.62</v>
      </c>
      <c r="E19">
        <v>9</v>
      </c>
      <c r="F19">
        <v>1140.08</v>
      </c>
      <c r="G19" t="s">
        <v>17</v>
      </c>
      <c r="H19" t="s">
        <v>39</v>
      </c>
      <c r="I19" t="s">
        <v>45</v>
      </c>
    </row>
    <row r="20" spans="1:9" x14ac:dyDescent="0.25">
      <c r="A20" s="2">
        <v>45292</v>
      </c>
      <c r="B20">
        <v>60</v>
      </c>
      <c r="C20">
        <v>7</v>
      </c>
      <c r="D20" s="3">
        <v>251.7</v>
      </c>
      <c r="E20">
        <v>5</v>
      </c>
      <c r="F20">
        <v>3956.69</v>
      </c>
      <c r="G20" t="s">
        <v>16</v>
      </c>
      <c r="H20" t="s">
        <v>41</v>
      </c>
      <c r="I20" t="s">
        <v>46</v>
      </c>
    </row>
    <row r="21" spans="1:9" x14ac:dyDescent="0.25">
      <c r="A21" s="2">
        <v>45292</v>
      </c>
      <c r="B21">
        <v>68</v>
      </c>
      <c r="C21">
        <v>19</v>
      </c>
      <c r="D21" s="3">
        <v>290.39</v>
      </c>
      <c r="E21">
        <v>3</v>
      </c>
      <c r="F21">
        <v>2472.2399999999998</v>
      </c>
      <c r="G21" t="s">
        <v>15</v>
      </c>
      <c r="H21" t="s">
        <v>40</v>
      </c>
      <c r="I21" t="s">
        <v>45</v>
      </c>
    </row>
    <row r="22" spans="1:9" x14ac:dyDescent="0.25">
      <c r="A22" s="2">
        <v>45292</v>
      </c>
      <c r="B22">
        <v>59</v>
      </c>
      <c r="C22">
        <v>5</v>
      </c>
      <c r="D22" s="3">
        <v>520.05999999999995</v>
      </c>
      <c r="E22">
        <v>3</v>
      </c>
      <c r="F22">
        <v>3546.72</v>
      </c>
      <c r="G22" t="s">
        <v>14</v>
      </c>
      <c r="H22" t="s">
        <v>39</v>
      </c>
      <c r="I22" t="s">
        <v>45</v>
      </c>
    </row>
    <row r="23" spans="1:9" x14ac:dyDescent="0.25">
      <c r="A23" s="2">
        <v>45292</v>
      </c>
      <c r="B23">
        <v>81</v>
      </c>
      <c r="C23">
        <v>16</v>
      </c>
      <c r="D23" s="3">
        <v>516.23</v>
      </c>
      <c r="E23">
        <v>5</v>
      </c>
      <c r="F23">
        <v>1030.68</v>
      </c>
      <c r="G23" t="s">
        <v>13</v>
      </c>
      <c r="H23" t="s">
        <v>38</v>
      </c>
      <c r="I23" t="s">
        <v>46</v>
      </c>
    </row>
    <row r="24" spans="1:9" x14ac:dyDescent="0.25">
      <c r="A24" s="2">
        <v>45292</v>
      </c>
      <c r="B24">
        <v>24</v>
      </c>
      <c r="C24">
        <v>6</v>
      </c>
      <c r="D24" s="3">
        <v>76.930000000000007</v>
      </c>
      <c r="E24">
        <v>4</v>
      </c>
      <c r="F24">
        <v>1552.35</v>
      </c>
      <c r="G24" t="s">
        <v>12</v>
      </c>
      <c r="H24" t="s">
        <v>38</v>
      </c>
      <c r="I24" t="s">
        <v>46</v>
      </c>
    </row>
    <row r="25" spans="1:9" x14ac:dyDescent="0.25">
      <c r="A25" s="2">
        <v>45292</v>
      </c>
      <c r="B25">
        <v>47</v>
      </c>
      <c r="C25">
        <v>14</v>
      </c>
      <c r="D25" s="3">
        <v>418.92</v>
      </c>
      <c r="E25">
        <v>2</v>
      </c>
      <c r="F25">
        <v>3716</v>
      </c>
      <c r="G25" t="s">
        <v>11</v>
      </c>
      <c r="H25" t="s">
        <v>37</v>
      </c>
      <c r="I25" t="s">
        <v>45</v>
      </c>
    </row>
    <row r="26" spans="1:9" x14ac:dyDescent="0.25">
      <c r="A26" s="2">
        <v>45292</v>
      </c>
      <c r="B26">
        <v>78</v>
      </c>
      <c r="C26">
        <v>12</v>
      </c>
      <c r="D26" s="3">
        <v>377.5</v>
      </c>
      <c r="E26">
        <v>4</v>
      </c>
      <c r="F26">
        <v>3880.98</v>
      </c>
      <c r="G26" t="s">
        <v>10</v>
      </c>
      <c r="H26" t="s">
        <v>36</v>
      </c>
      <c r="I26" t="s">
        <v>46</v>
      </c>
    </row>
    <row r="27" spans="1:9" x14ac:dyDescent="0.25">
      <c r="A27" s="2">
        <v>45292</v>
      </c>
      <c r="B27">
        <v>67</v>
      </c>
      <c r="C27">
        <v>17</v>
      </c>
      <c r="D27" s="3">
        <v>552.54999999999995</v>
      </c>
      <c r="E27">
        <v>2</v>
      </c>
      <c r="F27">
        <v>330.12</v>
      </c>
      <c r="G27" t="s">
        <v>21</v>
      </c>
      <c r="H27" t="s">
        <v>42</v>
      </c>
      <c r="I27" t="s">
        <v>46</v>
      </c>
    </row>
    <row r="28" spans="1:9" x14ac:dyDescent="0.25">
      <c r="A28" s="2">
        <v>45293</v>
      </c>
      <c r="B28">
        <v>88</v>
      </c>
      <c r="C28">
        <v>76</v>
      </c>
      <c r="D28" s="3">
        <v>477.27143704234118</v>
      </c>
      <c r="E28">
        <v>33</v>
      </c>
      <c r="F28">
        <v>2759.8775464905921</v>
      </c>
      <c r="G28" t="s">
        <v>12</v>
      </c>
      <c r="H28" t="s">
        <v>35</v>
      </c>
      <c r="I28" t="s">
        <v>46</v>
      </c>
    </row>
    <row r="29" spans="1:9" x14ac:dyDescent="0.25">
      <c r="A29" s="2">
        <v>45294</v>
      </c>
      <c r="B29">
        <v>78</v>
      </c>
      <c r="C29">
        <v>28</v>
      </c>
      <c r="D29" s="3">
        <v>151.56193441796631</v>
      </c>
      <c r="E29">
        <v>7</v>
      </c>
      <c r="F29">
        <v>3179.2325779401972</v>
      </c>
      <c r="G29" t="s">
        <v>12</v>
      </c>
      <c r="H29" t="s">
        <v>43</v>
      </c>
      <c r="I29" t="s">
        <v>46</v>
      </c>
    </row>
    <row r="30" spans="1:9" x14ac:dyDescent="0.25">
      <c r="A30" s="2">
        <v>45295</v>
      </c>
      <c r="B30">
        <v>64</v>
      </c>
      <c r="C30">
        <v>29</v>
      </c>
      <c r="D30" s="3">
        <v>551.2764533397833</v>
      </c>
      <c r="E30">
        <v>39</v>
      </c>
      <c r="F30">
        <v>801.84414824792361</v>
      </c>
      <c r="G30" t="s">
        <v>47</v>
      </c>
      <c r="H30" t="s">
        <v>43</v>
      </c>
      <c r="I30" t="s">
        <v>46</v>
      </c>
    </row>
    <row r="31" spans="1:9" x14ac:dyDescent="0.25">
      <c r="A31" s="2">
        <v>45296</v>
      </c>
      <c r="B31">
        <v>92</v>
      </c>
      <c r="C31">
        <v>61</v>
      </c>
      <c r="D31" s="3">
        <v>352.62618622392858</v>
      </c>
      <c r="E31">
        <v>18</v>
      </c>
      <c r="F31">
        <v>3874.8221167963002</v>
      </c>
      <c r="G31" t="s">
        <v>47</v>
      </c>
      <c r="H31" t="s">
        <v>36</v>
      </c>
      <c r="I31" t="s">
        <v>45</v>
      </c>
    </row>
    <row r="32" spans="1:9" x14ac:dyDescent="0.25">
      <c r="A32" s="2">
        <v>45299</v>
      </c>
      <c r="B32">
        <v>57</v>
      </c>
      <c r="C32">
        <v>42</v>
      </c>
      <c r="D32" s="3">
        <v>513.22873305387088</v>
      </c>
      <c r="E32">
        <v>36</v>
      </c>
      <c r="F32">
        <v>1444.575168930136</v>
      </c>
      <c r="G32" t="s">
        <v>18</v>
      </c>
      <c r="H32" t="s">
        <v>37</v>
      </c>
      <c r="I32" t="s">
        <v>46</v>
      </c>
    </row>
    <row r="33" spans="1:9" x14ac:dyDescent="0.25">
      <c r="A33" s="2">
        <v>45300</v>
      </c>
      <c r="B33">
        <v>70</v>
      </c>
      <c r="C33">
        <v>49</v>
      </c>
      <c r="D33" s="3">
        <v>260.02480051530591</v>
      </c>
      <c r="E33">
        <v>5</v>
      </c>
      <c r="F33">
        <v>4541.2443024832119</v>
      </c>
      <c r="G33" t="s">
        <v>48</v>
      </c>
      <c r="H33" t="s">
        <v>44</v>
      </c>
      <c r="I33" t="s">
        <v>46</v>
      </c>
    </row>
    <row r="34" spans="1:9" x14ac:dyDescent="0.25">
      <c r="A34" s="2">
        <v>45301</v>
      </c>
      <c r="B34">
        <v>88</v>
      </c>
      <c r="C34">
        <v>48</v>
      </c>
      <c r="D34" s="3">
        <v>547.76161424810016</v>
      </c>
      <c r="E34">
        <v>25</v>
      </c>
      <c r="F34">
        <v>1423.128382169032</v>
      </c>
      <c r="G34" t="s">
        <v>49</v>
      </c>
      <c r="H34" t="s">
        <v>42</v>
      </c>
      <c r="I34" t="s">
        <v>46</v>
      </c>
    </row>
    <row r="35" spans="1:9" x14ac:dyDescent="0.25">
      <c r="A35" s="2">
        <v>45302</v>
      </c>
      <c r="B35">
        <v>68</v>
      </c>
      <c r="C35">
        <v>10</v>
      </c>
      <c r="D35" s="3">
        <v>294.60083936708162</v>
      </c>
      <c r="E35">
        <v>33</v>
      </c>
      <c r="F35">
        <v>1358.0947429865</v>
      </c>
      <c r="G35" t="s">
        <v>47</v>
      </c>
      <c r="H35" t="s">
        <v>38</v>
      </c>
      <c r="I35" t="s">
        <v>45</v>
      </c>
    </row>
    <row r="36" spans="1:9" x14ac:dyDescent="0.25">
      <c r="A36" s="2">
        <v>45303</v>
      </c>
      <c r="B36">
        <v>72</v>
      </c>
      <c r="C36">
        <v>20</v>
      </c>
      <c r="D36" s="3">
        <v>105.4188257401492</v>
      </c>
      <c r="E36">
        <v>5</v>
      </c>
      <c r="F36">
        <v>664.47350531642701</v>
      </c>
      <c r="G36" t="s">
        <v>9</v>
      </c>
      <c r="H36" t="s">
        <v>37</v>
      </c>
      <c r="I36" t="s">
        <v>46</v>
      </c>
    </row>
    <row r="37" spans="1:9" x14ac:dyDescent="0.25">
      <c r="A37" s="2">
        <v>45306</v>
      </c>
      <c r="B37">
        <v>60</v>
      </c>
      <c r="C37">
        <v>66</v>
      </c>
      <c r="D37" s="3">
        <v>552.69098820963177</v>
      </c>
      <c r="E37">
        <v>36</v>
      </c>
      <c r="F37">
        <v>2624.301252994997</v>
      </c>
      <c r="G37" t="s">
        <v>18</v>
      </c>
      <c r="H37" t="s">
        <v>35</v>
      </c>
      <c r="I37" t="s">
        <v>45</v>
      </c>
    </row>
    <row r="38" spans="1:9" x14ac:dyDescent="0.25">
      <c r="A38" s="2">
        <v>45307</v>
      </c>
      <c r="B38">
        <v>60</v>
      </c>
      <c r="C38">
        <v>59</v>
      </c>
      <c r="D38" s="3">
        <v>145.64333839306681</v>
      </c>
      <c r="E38">
        <v>32</v>
      </c>
      <c r="F38">
        <v>3041.7850996817742</v>
      </c>
      <c r="G38" t="s">
        <v>49</v>
      </c>
      <c r="H38" t="s">
        <v>43</v>
      </c>
      <c r="I38" t="s">
        <v>45</v>
      </c>
    </row>
    <row r="39" spans="1:9" x14ac:dyDescent="0.25">
      <c r="A39" s="2">
        <v>45308</v>
      </c>
      <c r="B39">
        <v>73</v>
      </c>
      <c r="C39">
        <v>32</v>
      </c>
      <c r="D39" s="3">
        <v>259.65681879520741</v>
      </c>
      <c r="E39">
        <v>21</v>
      </c>
      <c r="F39">
        <v>795.68887742758557</v>
      </c>
      <c r="G39" t="s">
        <v>18</v>
      </c>
      <c r="H39" t="s">
        <v>40</v>
      </c>
      <c r="I39" t="s">
        <v>46</v>
      </c>
    </row>
    <row r="40" spans="1:9" x14ac:dyDescent="0.25">
      <c r="A40" s="2">
        <v>45309</v>
      </c>
      <c r="B40">
        <v>85</v>
      </c>
      <c r="C40">
        <v>40</v>
      </c>
      <c r="D40" s="3">
        <v>575.03098352540246</v>
      </c>
      <c r="E40">
        <v>20</v>
      </c>
      <c r="F40">
        <v>3989.8742751275481</v>
      </c>
      <c r="G40" t="s">
        <v>49</v>
      </c>
      <c r="H40" t="s">
        <v>36</v>
      </c>
      <c r="I40" t="s">
        <v>46</v>
      </c>
    </row>
    <row r="41" spans="1:9" x14ac:dyDescent="0.25">
      <c r="A41" s="2">
        <v>45310</v>
      </c>
      <c r="B41">
        <v>89</v>
      </c>
      <c r="C41">
        <v>51</v>
      </c>
      <c r="D41" s="3">
        <v>575.30357346877804</v>
      </c>
      <c r="E41">
        <v>5</v>
      </c>
      <c r="F41">
        <v>2539.7997563661238</v>
      </c>
      <c r="G41" t="s">
        <v>49</v>
      </c>
      <c r="H41" t="s">
        <v>36</v>
      </c>
      <c r="I41" t="s">
        <v>45</v>
      </c>
    </row>
    <row r="42" spans="1:9" x14ac:dyDescent="0.25">
      <c r="A42" s="2">
        <v>45313</v>
      </c>
      <c r="B42">
        <v>73</v>
      </c>
      <c r="C42">
        <v>16</v>
      </c>
      <c r="D42" s="3">
        <v>386.71894406164313</v>
      </c>
      <c r="E42">
        <v>5</v>
      </c>
      <c r="F42">
        <v>2859.7562119741101</v>
      </c>
      <c r="G42" t="s">
        <v>34</v>
      </c>
      <c r="H42" t="s">
        <v>40</v>
      </c>
      <c r="I42" t="s">
        <v>46</v>
      </c>
    </row>
    <row r="43" spans="1:9" x14ac:dyDescent="0.25">
      <c r="A43" s="2">
        <v>45314</v>
      </c>
      <c r="B43">
        <v>52</v>
      </c>
      <c r="C43">
        <v>25</v>
      </c>
      <c r="D43" s="3">
        <v>415.91860608489958</v>
      </c>
      <c r="E43">
        <v>3</v>
      </c>
      <c r="F43">
        <v>2483.4323612220269</v>
      </c>
      <c r="G43" t="s">
        <v>47</v>
      </c>
      <c r="H43" t="s">
        <v>44</v>
      </c>
      <c r="I43" t="s">
        <v>45</v>
      </c>
    </row>
    <row r="44" spans="1:9" x14ac:dyDescent="0.25">
      <c r="A44" s="2">
        <v>45315</v>
      </c>
      <c r="B44">
        <v>71</v>
      </c>
      <c r="C44">
        <v>69</v>
      </c>
      <c r="D44" s="3">
        <v>324.22276098915989</v>
      </c>
      <c r="E44">
        <v>29</v>
      </c>
      <c r="F44">
        <v>2303.4337739389671</v>
      </c>
      <c r="G44" t="s">
        <v>10</v>
      </c>
      <c r="H44" t="s">
        <v>37</v>
      </c>
      <c r="I44" t="s">
        <v>45</v>
      </c>
    </row>
    <row r="45" spans="1:9" x14ac:dyDescent="0.25">
      <c r="A45" s="2">
        <v>45316</v>
      </c>
      <c r="B45">
        <v>51</v>
      </c>
      <c r="C45">
        <v>11</v>
      </c>
      <c r="D45" s="3">
        <v>246.6053858490323</v>
      </c>
      <c r="E45">
        <v>10</v>
      </c>
      <c r="F45">
        <v>3018.3814908869799</v>
      </c>
      <c r="G45" t="s">
        <v>18</v>
      </c>
      <c r="H45" t="s">
        <v>38</v>
      </c>
      <c r="I45" t="s">
        <v>46</v>
      </c>
    </row>
    <row r="46" spans="1:9" x14ac:dyDescent="0.25">
      <c r="A46" s="2">
        <v>45317</v>
      </c>
      <c r="B46">
        <v>73</v>
      </c>
      <c r="C46">
        <v>10</v>
      </c>
      <c r="D46" s="3">
        <v>264.33227268495801</v>
      </c>
      <c r="E46">
        <v>29</v>
      </c>
      <c r="F46">
        <v>1198.5811066882061</v>
      </c>
      <c r="G46" t="s">
        <v>10</v>
      </c>
      <c r="H46" t="s">
        <v>44</v>
      </c>
      <c r="I46" t="s">
        <v>46</v>
      </c>
    </row>
    <row r="47" spans="1:9" x14ac:dyDescent="0.25">
      <c r="A47" s="2">
        <v>45320</v>
      </c>
      <c r="B47">
        <v>93</v>
      </c>
      <c r="C47">
        <v>57</v>
      </c>
      <c r="D47" s="3">
        <v>436.25922803851921</v>
      </c>
      <c r="E47">
        <v>30</v>
      </c>
      <c r="F47">
        <v>1318.6765872287201</v>
      </c>
      <c r="G47" t="s">
        <v>18</v>
      </c>
      <c r="H47" t="s">
        <v>40</v>
      </c>
      <c r="I47" t="s">
        <v>45</v>
      </c>
    </row>
    <row r="48" spans="1:9" x14ac:dyDescent="0.25">
      <c r="A48" s="2">
        <v>45321</v>
      </c>
      <c r="B48">
        <v>79</v>
      </c>
      <c r="C48">
        <v>21</v>
      </c>
      <c r="D48" s="3">
        <v>476.18726471884003</v>
      </c>
      <c r="E48">
        <v>23</v>
      </c>
      <c r="F48">
        <v>4378.0352945608283</v>
      </c>
      <c r="G48" t="s">
        <v>34</v>
      </c>
      <c r="H48" t="s">
        <v>43</v>
      </c>
      <c r="I48" t="s">
        <v>45</v>
      </c>
    </row>
    <row r="49" spans="1:9" x14ac:dyDescent="0.25">
      <c r="A49" s="2">
        <v>45322</v>
      </c>
      <c r="B49">
        <v>87</v>
      </c>
      <c r="C49">
        <v>78</v>
      </c>
      <c r="D49" s="3">
        <v>495.78952186292429</v>
      </c>
      <c r="E49">
        <v>8</v>
      </c>
      <c r="F49">
        <v>4757.5195796013477</v>
      </c>
      <c r="G49" t="s">
        <v>9</v>
      </c>
      <c r="H49" t="s">
        <v>40</v>
      </c>
      <c r="I49" t="s">
        <v>45</v>
      </c>
    </row>
    <row r="50" spans="1:9" x14ac:dyDescent="0.25">
      <c r="A50" s="2">
        <v>45323</v>
      </c>
      <c r="B50">
        <v>34</v>
      </c>
      <c r="C50">
        <v>17</v>
      </c>
      <c r="D50" s="3">
        <v>380.37</v>
      </c>
      <c r="E50">
        <v>7</v>
      </c>
      <c r="F50">
        <v>4183.2700000000004</v>
      </c>
      <c r="G50" t="s">
        <v>34</v>
      </c>
      <c r="H50" t="s">
        <v>38</v>
      </c>
      <c r="I50" t="s">
        <v>46</v>
      </c>
    </row>
    <row r="51" spans="1:9" x14ac:dyDescent="0.25">
      <c r="A51" s="2">
        <v>45323</v>
      </c>
      <c r="B51">
        <v>80</v>
      </c>
      <c r="C51">
        <v>50</v>
      </c>
      <c r="D51" s="3">
        <v>562.73</v>
      </c>
      <c r="E51">
        <v>30</v>
      </c>
      <c r="F51">
        <v>221.94</v>
      </c>
      <c r="G51" t="s">
        <v>33</v>
      </c>
      <c r="H51" t="s">
        <v>38</v>
      </c>
      <c r="I51" t="s">
        <v>46</v>
      </c>
    </row>
    <row r="52" spans="1:9" x14ac:dyDescent="0.25">
      <c r="A52" s="2">
        <v>45323</v>
      </c>
      <c r="B52">
        <v>22</v>
      </c>
      <c r="C52">
        <v>17</v>
      </c>
      <c r="D52" s="3">
        <v>291.97000000000003</v>
      </c>
      <c r="E52">
        <v>1</v>
      </c>
      <c r="F52">
        <v>1703.6</v>
      </c>
      <c r="G52" t="s">
        <v>29</v>
      </c>
      <c r="H52" t="s">
        <v>36</v>
      </c>
      <c r="I52" t="s">
        <v>45</v>
      </c>
    </row>
    <row r="53" spans="1:9" x14ac:dyDescent="0.25">
      <c r="A53" s="2">
        <v>45323</v>
      </c>
      <c r="B53">
        <v>68</v>
      </c>
      <c r="C53">
        <v>7</v>
      </c>
      <c r="D53" s="3">
        <v>171.76</v>
      </c>
      <c r="E53">
        <v>7</v>
      </c>
      <c r="F53">
        <v>548.36</v>
      </c>
      <c r="G53" t="s">
        <v>31</v>
      </c>
      <c r="H53" t="s">
        <v>39</v>
      </c>
      <c r="I53" t="s">
        <v>46</v>
      </c>
    </row>
    <row r="54" spans="1:9" x14ac:dyDescent="0.25">
      <c r="A54" s="2">
        <v>45323</v>
      </c>
      <c r="B54">
        <v>62</v>
      </c>
      <c r="C54">
        <v>15</v>
      </c>
      <c r="D54" s="3">
        <v>361.38</v>
      </c>
      <c r="E54">
        <v>6</v>
      </c>
      <c r="F54">
        <v>4195.1400000000003</v>
      </c>
      <c r="G54" t="s">
        <v>9</v>
      </c>
      <c r="H54" t="s">
        <v>41</v>
      </c>
      <c r="I54" t="s">
        <v>46</v>
      </c>
    </row>
    <row r="55" spans="1:9" x14ac:dyDescent="0.25">
      <c r="A55" s="2">
        <v>45323</v>
      </c>
      <c r="B55">
        <v>83</v>
      </c>
      <c r="C55">
        <v>16</v>
      </c>
      <c r="D55" s="3">
        <v>382.21</v>
      </c>
      <c r="E55">
        <v>1</v>
      </c>
      <c r="F55">
        <v>3017.43</v>
      </c>
      <c r="G55" t="s">
        <v>32</v>
      </c>
      <c r="H55" t="s">
        <v>35</v>
      </c>
      <c r="I55" t="s">
        <v>46</v>
      </c>
    </row>
    <row r="56" spans="1:9" x14ac:dyDescent="0.25">
      <c r="A56" s="2">
        <v>45323</v>
      </c>
      <c r="B56">
        <v>52</v>
      </c>
      <c r="C56">
        <v>14</v>
      </c>
      <c r="D56" s="3">
        <v>382.59</v>
      </c>
      <c r="E56">
        <v>3</v>
      </c>
      <c r="F56">
        <v>3394.39</v>
      </c>
      <c r="G56" t="s">
        <v>11</v>
      </c>
      <c r="H56" t="s">
        <v>41</v>
      </c>
      <c r="I56" t="s">
        <v>45</v>
      </c>
    </row>
    <row r="57" spans="1:9" x14ac:dyDescent="0.25">
      <c r="A57" s="2">
        <v>45323</v>
      </c>
      <c r="B57">
        <v>100</v>
      </c>
      <c r="C57">
        <v>50</v>
      </c>
      <c r="D57" s="3">
        <v>79.459999999999994</v>
      </c>
      <c r="E57">
        <v>30</v>
      </c>
      <c r="F57">
        <v>1638.74</v>
      </c>
      <c r="G57" t="s">
        <v>12</v>
      </c>
      <c r="H57" t="s">
        <v>43</v>
      </c>
      <c r="I57" t="s">
        <v>45</v>
      </c>
    </row>
    <row r="58" spans="1:9" x14ac:dyDescent="0.25">
      <c r="A58" s="2">
        <v>45323</v>
      </c>
      <c r="B58">
        <v>93</v>
      </c>
      <c r="C58">
        <v>11</v>
      </c>
      <c r="D58" s="3">
        <v>446.3</v>
      </c>
      <c r="E58">
        <v>5</v>
      </c>
      <c r="F58">
        <v>1057.1400000000001</v>
      </c>
      <c r="G58" t="s">
        <v>13</v>
      </c>
      <c r="H58" t="s">
        <v>39</v>
      </c>
      <c r="I58" t="s">
        <v>46</v>
      </c>
    </row>
    <row r="59" spans="1:9" x14ac:dyDescent="0.25">
      <c r="A59" s="2">
        <v>45323</v>
      </c>
      <c r="B59">
        <v>65</v>
      </c>
      <c r="C59">
        <v>7</v>
      </c>
      <c r="D59" s="3">
        <v>461.67</v>
      </c>
      <c r="E59">
        <v>2</v>
      </c>
      <c r="F59">
        <v>3486.23</v>
      </c>
      <c r="G59" t="s">
        <v>14</v>
      </c>
      <c r="H59" t="s">
        <v>43</v>
      </c>
      <c r="I59" t="s">
        <v>45</v>
      </c>
    </row>
    <row r="60" spans="1:9" x14ac:dyDescent="0.25">
      <c r="A60" s="2">
        <v>45323</v>
      </c>
      <c r="B60">
        <v>90</v>
      </c>
      <c r="C60">
        <v>20</v>
      </c>
      <c r="D60" s="3">
        <v>328.63</v>
      </c>
      <c r="E60">
        <v>3</v>
      </c>
      <c r="F60">
        <v>2662.44</v>
      </c>
      <c r="G60" t="s">
        <v>15</v>
      </c>
      <c r="H60" t="s">
        <v>43</v>
      </c>
      <c r="I60" t="s">
        <v>46</v>
      </c>
    </row>
    <row r="61" spans="1:9" x14ac:dyDescent="0.25">
      <c r="A61" s="2">
        <v>45323</v>
      </c>
      <c r="B61">
        <v>48</v>
      </c>
      <c r="C61">
        <v>7</v>
      </c>
      <c r="D61" s="3">
        <v>247.66</v>
      </c>
      <c r="E61">
        <v>6</v>
      </c>
      <c r="F61">
        <v>4335.84</v>
      </c>
      <c r="G61" t="s">
        <v>16</v>
      </c>
      <c r="H61" t="s">
        <v>37</v>
      </c>
      <c r="I61" t="s">
        <v>46</v>
      </c>
    </row>
    <row r="62" spans="1:9" x14ac:dyDescent="0.25">
      <c r="A62" s="2">
        <v>45323</v>
      </c>
      <c r="B62">
        <v>37</v>
      </c>
      <c r="C62">
        <v>17</v>
      </c>
      <c r="D62" s="3">
        <v>378.61</v>
      </c>
      <c r="E62">
        <v>10</v>
      </c>
      <c r="F62">
        <v>1295.07</v>
      </c>
      <c r="G62" t="s">
        <v>17</v>
      </c>
      <c r="H62" t="s">
        <v>41</v>
      </c>
      <c r="I62" t="s">
        <v>46</v>
      </c>
    </row>
    <row r="63" spans="1:9" x14ac:dyDescent="0.25">
      <c r="A63" s="2">
        <v>45323</v>
      </c>
      <c r="B63">
        <v>68</v>
      </c>
      <c r="C63">
        <v>16</v>
      </c>
      <c r="D63" s="3">
        <v>299.58999999999997</v>
      </c>
      <c r="E63">
        <v>9</v>
      </c>
      <c r="F63">
        <v>979.47</v>
      </c>
      <c r="G63" t="s">
        <v>18</v>
      </c>
      <c r="H63" t="s">
        <v>39</v>
      </c>
      <c r="I63" t="s">
        <v>45</v>
      </c>
    </row>
    <row r="64" spans="1:9" x14ac:dyDescent="0.25">
      <c r="A64" s="2">
        <v>45323</v>
      </c>
      <c r="B64">
        <v>20</v>
      </c>
      <c r="C64">
        <v>9</v>
      </c>
      <c r="D64" s="3">
        <v>202.4</v>
      </c>
      <c r="E64">
        <v>7</v>
      </c>
      <c r="F64">
        <v>732.99</v>
      </c>
      <c r="G64" t="s">
        <v>19</v>
      </c>
      <c r="H64" t="s">
        <v>39</v>
      </c>
      <c r="I64" t="s">
        <v>46</v>
      </c>
    </row>
    <row r="65" spans="1:9" x14ac:dyDescent="0.25">
      <c r="A65" s="2">
        <v>45323</v>
      </c>
      <c r="B65">
        <v>81</v>
      </c>
      <c r="C65">
        <v>14</v>
      </c>
      <c r="D65" s="3">
        <v>362.96</v>
      </c>
      <c r="E65">
        <v>5</v>
      </c>
      <c r="F65">
        <v>3620.19</v>
      </c>
      <c r="G65" t="s">
        <v>10</v>
      </c>
      <c r="H65" t="s">
        <v>44</v>
      </c>
      <c r="I65" t="s">
        <v>46</v>
      </c>
    </row>
    <row r="66" spans="1:9" x14ac:dyDescent="0.25">
      <c r="A66" s="2">
        <v>45323</v>
      </c>
      <c r="B66">
        <v>68</v>
      </c>
      <c r="C66">
        <v>21</v>
      </c>
      <c r="D66" s="3">
        <v>553.08000000000004</v>
      </c>
      <c r="E66">
        <v>3</v>
      </c>
      <c r="F66">
        <v>360.7</v>
      </c>
      <c r="G66" t="s">
        <v>21</v>
      </c>
      <c r="H66" t="s">
        <v>40</v>
      </c>
      <c r="I66" t="s">
        <v>45</v>
      </c>
    </row>
    <row r="67" spans="1:9" x14ac:dyDescent="0.25">
      <c r="A67" s="2">
        <v>45323</v>
      </c>
      <c r="B67">
        <v>30</v>
      </c>
      <c r="C67">
        <v>8</v>
      </c>
      <c r="D67" s="3">
        <v>223.22</v>
      </c>
      <c r="E67">
        <v>2</v>
      </c>
      <c r="F67">
        <v>3595.12</v>
      </c>
      <c r="G67" t="s">
        <v>22</v>
      </c>
      <c r="H67" t="s">
        <v>43</v>
      </c>
      <c r="I67" t="s">
        <v>46</v>
      </c>
    </row>
    <row r="68" spans="1:9" x14ac:dyDescent="0.25">
      <c r="A68" s="2">
        <v>45323</v>
      </c>
      <c r="B68">
        <v>69</v>
      </c>
      <c r="C68">
        <v>8</v>
      </c>
      <c r="D68" s="3">
        <v>199.93</v>
      </c>
      <c r="E68">
        <v>2</v>
      </c>
      <c r="F68">
        <v>610.66</v>
      </c>
      <c r="G68" t="s">
        <v>23</v>
      </c>
      <c r="H68" t="s">
        <v>37</v>
      </c>
      <c r="I68" t="s">
        <v>46</v>
      </c>
    </row>
    <row r="69" spans="1:9" x14ac:dyDescent="0.25">
      <c r="A69" s="2">
        <v>45323</v>
      </c>
      <c r="B69">
        <v>92</v>
      </c>
      <c r="C69">
        <v>6</v>
      </c>
      <c r="D69" s="3">
        <v>180.46</v>
      </c>
      <c r="E69">
        <v>5</v>
      </c>
      <c r="F69">
        <v>1173.27</v>
      </c>
      <c r="G69" t="s">
        <v>24</v>
      </c>
      <c r="H69" t="s">
        <v>44</v>
      </c>
      <c r="I69" t="s">
        <v>46</v>
      </c>
    </row>
    <row r="70" spans="1:9" x14ac:dyDescent="0.25">
      <c r="A70" s="2">
        <v>45323</v>
      </c>
      <c r="B70">
        <v>92</v>
      </c>
      <c r="C70">
        <v>7</v>
      </c>
      <c r="D70" s="3">
        <v>80.12</v>
      </c>
      <c r="E70">
        <v>6</v>
      </c>
      <c r="F70">
        <v>3794.02</v>
      </c>
      <c r="G70" t="s">
        <v>25</v>
      </c>
      <c r="H70" t="s">
        <v>39</v>
      </c>
      <c r="I70" t="s">
        <v>46</v>
      </c>
    </row>
    <row r="71" spans="1:9" x14ac:dyDescent="0.25">
      <c r="A71" s="2">
        <v>45323</v>
      </c>
      <c r="B71">
        <v>21</v>
      </c>
      <c r="C71">
        <v>14</v>
      </c>
      <c r="D71" s="3">
        <v>563.79</v>
      </c>
      <c r="E71">
        <v>8</v>
      </c>
      <c r="F71">
        <v>3616.21</v>
      </c>
      <c r="G71" t="s">
        <v>26</v>
      </c>
      <c r="H71" t="s">
        <v>37</v>
      </c>
      <c r="I71" t="s">
        <v>46</v>
      </c>
    </row>
    <row r="72" spans="1:9" x14ac:dyDescent="0.25">
      <c r="A72" s="2">
        <v>45323</v>
      </c>
      <c r="B72">
        <v>83</v>
      </c>
      <c r="C72">
        <v>20</v>
      </c>
      <c r="D72" s="3">
        <v>193.39</v>
      </c>
      <c r="E72">
        <v>5</v>
      </c>
      <c r="F72">
        <v>402.53</v>
      </c>
      <c r="G72" t="s">
        <v>27</v>
      </c>
      <c r="H72" t="s">
        <v>35</v>
      </c>
      <c r="I72" t="s">
        <v>46</v>
      </c>
    </row>
    <row r="73" spans="1:9" x14ac:dyDescent="0.25">
      <c r="A73" s="2">
        <v>45323</v>
      </c>
      <c r="B73">
        <v>57</v>
      </c>
      <c r="C73">
        <v>11</v>
      </c>
      <c r="D73" s="3">
        <v>454.77</v>
      </c>
      <c r="E73">
        <v>1</v>
      </c>
      <c r="F73">
        <v>1152.4100000000001</v>
      </c>
      <c r="G73" t="s">
        <v>28</v>
      </c>
      <c r="H73" t="s">
        <v>40</v>
      </c>
      <c r="I73" t="s">
        <v>46</v>
      </c>
    </row>
    <row r="74" spans="1:9" x14ac:dyDescent="0.25">
      <c r="A74" s="2">
        <v>45323</v>
      </c>
      <c r="B74">
        <v>35</v>
      </c>
      <c r="C74">
        <v>6</v>
      </c>
      <c r="D74" s="3">
        <v>568.38</v>
      </c>
      <c r="E74">
        <v>6</v>
      </c>
      <c r="F74">
        <v>3949.69</v>
      </c>
      <c r="G74" t="s">
        <v>20</v>
      </c>
      <c r="H74" t="s">
        <v>41</v>
      </c>
      <c r="I74" t="s">
        <v>46</v>
      </c>
    </row>
    <row r="75" spans="1:9" x14ac:dyDescent="0.25">
      <c r="A75" s="2">
        <v>45323</v>
      </c>
      <c r="B75">
        <v>78</v>
      </c>
      <c r="C75">
        <v>5</v>
      </c>
      <c r="D75" s="3">
        <v>553.86</v>
      </c>
      <c r="E75">
        <v>1</v>
      </c>
      <c r="F75">
        <v>3503.57</v>
      </c>
      <c r="G75" t="s">
        <v>30</v>
      </c>
      <c r="H75" t="s">
        <v>41</v>
      </c>
      <c r="I75" t="s">
        <v>45</v>
      </c>
    </row>
    <row r="76" spans="1:9" x14ac:dyDescent="0.25">
      <c r="A76" s="2">
        <v>45324</v>
      </c>
      <c r="B76">
        <v>51</v>
      </c>
      <c r="C76">
        <v>46</v>
      </c>
      <c r="D76" s="3">
        <v>494.80907139727702</v>
      </c>
      <c r="E76">
        <v>2</v>
      </c>
      <c r="F76">
        <v>2179.8919232588878</v>
      </c>
      <c r="G76" t="s">
        <v>10</v>
      </c>
      <c r="H76" t="s">
        <v>44</v>
      </c>
      <c r="I76" t="s">
        <v>45</v>
      </c>
    </row>
    <row r="77" spans="1:9" x14ac:dyDescent="0.25">
      <c r="A77" s="2">
        <v>45327</v>
      </c>
      <c r="B77">
        <v>70</v>
      </c>
      <c r="C77">
        <v>41</v>
      </c>
      <c r="D77" s="3">
        <v>145.6030515243452</v>
      </c>
      <c r="E77">
        <v>30</v>
      </c>
      <c r="F77">
        <v>1718.351029145992</v>
      </c>
      <c r="G77" t="s">
        <v>9</v>
      </c>
      <c r="H77" t="s">
        <v>42</v>
      </c>
      <c r="I77" t="s">
        <v>46</v>
      </c>
    </row>
    <row r="78" spans="1:9" x14ac:dyDescent="0.25">
      <c r="A78" s="2">
        <v>45328</v>
      </c>
      <c r="B78">
        <v>82</v>
      </c>
      <c r="C78">
        <v>18</v>
      </c>
      <c r="D78" s="3">
        <v>347.21015235129067</v>
      </c>
      <c r="E78">
        <v>39</v>
      </c>
      <c r="F78">
        <v>3397.9979445755712</v>
      </c>
      <c r="G78" t="s">
        <v>12</v>
      </c>
      <c r="H78" t="s">
        <v>36</v>
      </c>
      <c r="I78" t="s">
        <v>46</v>
      </c>
    </row>
    <row r="79" spans="1:9" x14ac:dyDescent="0.25">
      <c r="A79" s="2">
        <v>45329</v>
      </c>
      <c r="B79">
        <v>61</v>
      </c>
      <c r="C79">
        <v>28</v>
      </c>
      <c r="D79" s="3">
        <v>128.77938000832211</v>
      </c>
      <c r="E79">
        <v>36</v>
      </c>
      <c r="F79">
        <v>2339.303769941434</v>
      </c>
      <c r="G79" t="s">
        <v>47</v>
      </c>
      <c r="H79" t="s">
        <v>36</v>
      </c>
      <c r="I79" t="s">
        <v>46</v>
      </c>
    </row>
    <row r="80" spans="1:9" x14ac:dyDescent="0.25">
      <c r="A80" s="2">
        <v>45330</v>
      </c>
      <c r="B80">
        <v>71</v>
      </c>
      <c r="C80">
        <v>57</v>
      </c>
      <c r="D80" s="3">
        <v>374.76444116186781</v>
      </c>
      <c r="E80">
        <v>35</v>
      </c>
      <c r="F80">
        <v>614.23860047155188</v>
      </c>
      <c r="G80" t="s">
        <v>47</v>
      </c>
      <c r="H80" t="s">
        <v>35</v>
      </c>
      <c r="I80" t="s">
        <v>46</v>
      </c>
    </row>
    <row r="81" spans="1:9" x14ac:dyDescent="0.25">
      <c r="A81" s="2">
        <v>45331</v>
      </c>
      <c r="B81">
        <v>93</v>
      </c>
      <c r="C81">
        <v>12</v>
      </c>
      <c r="D81" s="3">
        <v>320.76525068668849</v>
      </c>
      <c r="E81">
        <v>23</v>
      </c>
      <c r="F81">
        <v>1202.686688147857</v>
      </c>
      <c r="G81" t="s">
        <v>48</v>
      </c>
      <c r="H81" t="s">
        <v>35</v>
      </c>
      <c r="I81" t="s">
        <v>46</v>
      </c>
    </row>
    <row r="82" spans="1:9" x14ac:dyDescent="0.25">
      <c r="A82" s="2">
        <v>45334</v>
      </c>
      <c r="B82">
        <v>74</v>
      </c>
      <c r="C82">
        <v>29</v>
      </c>
      <c r="D82" s="3">
        <v>543.8520913791499</v>
      </c>
      <c r="E82">
        <v>30</v>
      </c>
      <c r="F82">
        <v>3721.8750298132891</v>
      </c>
      <c r="G82" t="s">
        <v>34</v>
      </c>
      <c r="H82" t="s">
        <v>40</v>
      </c>
      <c r="I82" t="s">
        <v>45</v>
      </c>
    </row>
    <row r="83" spans="1:9" x14ac:dyDescent="0.25">
      <c r="A83" s="2">
        <v>45335</v>
      </c>
      <c r="B83">
        <v>98</v>
      </c>
      <c r="C83">
        <v>33</v>
      </c>
      <c r="D83" s="3">
        <v>275.45750627603928</v>
      </c>
      <c r="E83">
        <v>5</v>
      </c>
      <c r="F83">
        <v>3465.1577385956812</v>
      </c>
      <c r="G83" t="s">
        <v>9</v>
      </c>
      <c r="H83" t="s">
        <v>38</v>
      </c>
      <c r="I83" t="s">
        <v>46</v>
      </c>
    </row>
    <row r="84" spans="1:9" x14ac:dyDescent="0.25">
      <c r="A84" s="2">
        <v>45336</v>
      </c>
      <c r="B84">
        <v>76</v>
      </c>
      <c r="C84">
        <v>63</v>
      </c>
      <c r="D84" s="3">
        <v>158.53350821380289</v>
      </c>
      <c r="E84">
        <v>1</v>
      </c>
      <c r="F84">
        <v>621.93196626567567</v>
      </c>
      <c r="G84" t="s">
        <v>49</v>
      </c>
      <c r="H84" t="s">
        <v>43</v>
      </c>
      <c r="I84" t="s">
        <v>46</v>
      </c>
    </row>
    <row r="85" spans="1:9" x14ac:dyDescent="0.25">
      <c r="A85" s="2">
        <v>45337</v>
      </c>
      <c r="B85">
        <v>91</v>
      </c>
      <c r="C85">
        <v>42</v>
      </c>
      <c r="D85" s="3">
        <v>171.49584102641791</v>
      </c>
      <c r="E85">
        <v>19</v>
      </c>
      <c r="F85">
        <v>1498.874728698273</v>
      </c>
      <c r="G85" t="s">
        <v>18</v>
      </c>
      <c r="H85" t="s">
        <v>42</v>
      </c>
      <c r="I85" t="s">
        <v>46</v>
      </c>
    </row>
    <row r="86" spans="1:9" x14ac:dyDescent="0.25">
      <c r="A86" s="2">
        <v>45338</v>
      </c>
      <c r="B86">
        <v>77</v>
      </c>
      <c r="C86">
        <v>33</v>
      </c>
      <c r="D86" s="3">
        <v>480.75531585873608</v>
      </c>
      <c r="E86">
        <v>27</v>
      </c>
      <c r="F86">
        <v>1539.8365846463209</v>
      </c>
      <c r="G86" t="s">
        <v>47</v>
      </c>
      <c r="H86" t="s">
        <v>37</v>
      </c>
      <c r="I86" t="s">
        <v>46</v>
      </c>
    </row>
    <row r="87" spans="1:9" x14ac:dyDescent="0.25">
      <c r="A87" s="2">
        <v>45341</v>
      </c>
      <c r="B87">
        <v>65</v>
      </c>
      <c r="C87">
        <v>45</v>
      </c>
      <c r="D87" s="3">
        <v>409.1090316581305</v>
      </c>
      <c r="E87">
        <v>10</v>
      </c>
      <c r="F87">
        <v>3523.5173461942782</v>
      </c>
      <c r="G87" t="s">
        <v>10</v>
      </c>
      <c r="H87" t="s">
        <v>44</v>
      </c>
      <c r="I87" t="s">
        <v>46</v>
      </c>
    </row>
    <row r="88" spans="1:9" x14ac:dyDescent="0.25">
      <c r="A88" s="2">
        <v>45342</v>
      </c>
      <c r="B88">
        <v>64</v>
      </c>
      <c r="C88">
        <v>47</v>
      </c>
      <c r="D88" s="3">
        <v>150.56133806139511</v>
      </c>
      <c r="E88">
        <v>3</v>
      </c>
      <c r="F88">
        <v>588.69741989463864</v>
      </c>
      <c r="G88" t="s">
        <v>18</v>
      </c>
      <c r="H88" t="s">
        <v>38</v>
      </c>
      <c r="I88" t="s">
        <v>45</v>
      </c>
    </row>
    <row r="89" spans="1:9" x14ac:dyDescent="0.25">
      <c r="A89" s="2">
        <v>45343</v>
      </c>
      <c r="B89">
        <v>96</v>
      </c>
      <c r="C89">
        <v>34</v>
      </c>
      <c r="D89" s="3">
        <v>142.05340305749871</v>
      </c>
      <c r="E89">
        <v>14</v>
      </c>
      <c r="F89">
        <v>968.48861893058233</v>
      </c>
      <c r="G89" t="s">
        <v>18</v>
      </c>
      <c r="H89" t="s">
        <v>43</v>
      </c>
      <c r="I89" t="s">
        <v>45</v>
      </c>
    </row>
    <row r="90" spans="1:9" x14ac:dyDescent="0.25">
      <c r="A90" s="2">
        <v>45344</v>
      </c>
      <c r="B90">
        <v>93</v>
      </c>
      <c r="C90">
        <v>27</v>
      </c>
      <c r="D90" s="3">
        <v>450.48456572956002</v>
      </c>
      <c r="E90">
        <v>5</v>
      </c>
      <c r="F90">
        <v>4099.6223841793526</v>
      </c>
      <c r="G90" t="s">
        <v>48</v>
      </c>
      <c r="H90" t="s">
        <v>35</v>
      </c>
      <c r="I90" t="s">
        <v>45</v>
      </c>
    </row>
    <row r="91" spans="1:9" x14ac:dyDescent="0.25">
      <c r="A91" s="2">
        <v>45345</v>
      </c>
      <c r="B91">
        <v>52</v>
      </c>
      <c r="C91">
        <v>75</v>
      </c>
      <c r="D91" s="3">
        <v>136.38150318209679</v>
      </c>
      <c r="E91">
        <v>29</v>
      </c>
      <c r="F91">
        <v>1303.450979244501</v>
      </c>
      <c r="G91" t="s">
        <v>9</v>
      </c>
      <c r="H91" t="s">
        <v>40</v>
      </c>
      <c r="I91" t="s">
        <v>46</v>
      </c>
    </row>
    <row r="92" spans="1:9" x14ac:dyDescent="0.25">
      <c r="A92" s="2">
        <v>45348</v>
      </c>
      <c r="B92">
        <v>86</v>
      </c>
      <c r="C92">
        <v>63</v>
      </c>
      <c r="D92" s="3">
        <v>510.93002964517808</v>
      </c>
      <c r="E92">
        <v>37</v>
      </c>
      <c r="F92">
        <v>3437.3574853334362</v>
      </c>
      <c r="G92" t="s">
        <v>47</v>
      </c>
      <c r="H92" t="s">
        <v>44</v>
      </c>
      <c r="I92" t="s">
        <v>45</v>
      </c>
    </row>
    <row r="93" spans="1:9" x14ac:dyDescent="0.25">
      <c r="A93" s="2">
        <v>45349</v>
      </c>
      <c r="B93">
        <v>56</v>
      </c>
      <c r="C93">
        <v>44</v>
      </c>
      <c r="D93" s="3">
        <v>453.12111357824813</v>
      </c>
      <c r="E93">
        <v>1</v>
      </c>
      <c r="F93">
        <v>1571.8225147102689</v>
      </c>
      <c r="G93" t="s">
        <v>18</v>
      </c>
      <c r="H93" t="s">
        <v>35</v>
      </c>
      <c r="I93" t="s">
        <v>45</v>
      </c>
    </row>
    <row r="94" spans="1:9" x14ac:dyDescent="0.25">
      <c r="A94" s="2">
        <v>45350</v>
      </c>
      <c r="B94">
        <v>70</v>
      </c>
      <c r="C94">
        <v>70</v>
      </c>
      <c r="D94" s="3">
        <v>140.6743903209499</v>
      </c>
      <c r="E94">
        <v>14</v>
      </c>
      <c r="F94">
        <v>947.48626741705323</v>
      </c>
      <c r="G94" t="s">
        <v>47</v>
      </c>
      <c r="H94" t="s">
        <v>40</v>
      </c>
      <c r="I94" t="s">
        <v>46</v>
      </c>
    </row>
    <row r="95" spans="1:9" x14ac:dyDescent="0.25">
      <c r="A95" s="2">
        <v>45351</v>
      </c>
      <c r="B95">
        <v>58</v>
      </c>
      <c r="C95">
        <v>50</v>
      </c>
      <c r="D95" s="3">
        <v>142.41885704259599</v>
      </c>
      <c r="E95">
        <v>10</v>
      </c>
      <c r="F95">
        <v>1594.274859497543</v>
      </c>
      <c r="G95" t="s">
        <v>49</v>
      </c>
      <c r="H95" t="s">
        <v>44</v>
      </c>
      <c r="I95" t="s">
        <v>46</v>
      </c>
    </row>
    <row r="96" spans="1:9" x14ac:dyDescent="0.25">
      <c r="A96" s="2">
        <v>45352</v>
      </c>
      <c r="B96">
        <v>31</v>
      </c>
      <c r="C96">
        <v>9</v>
      </c>
      <c r="D96" s="3">
        <v>209.18</v>
      </c>
      <c r="E96">
        <v>2</v>
      </c>
      <c r="F96">
        <v>4153.3100000000004</v>
      </c>
      <c r="G96" t="s">
        <v>22</v>
      </c>
      <c r="H96" t="s">
        <v>37</v>
      </c>
      <c r="I96" t="s">
        <v>45</v>
      </c>
    </row>
    <row r="97" spans="1:9" x14ac:dyDescent="0.25">
      <c r="A97" s="2">
        <v>45352</v>
      </c>
      <c r="B97">
        <v>21</v>
      </c>
      <c r="C97">
        <v>14</v>
      </c>
      <c r="D97" s="3">
        <v>498.82</v>
      </c>
      <c r="E97">
        <v>5</v>
      </c>
      <c r="F97">
        <v>4039.26</v>
      </c>
      <c r="G97" t="s">
        <v>26</v>
      </c>
      <c r="H97" t="s">
        <v>38</v>
      </c>
      <c r="I97" t="s">
        <v>46</v>
      </c>
    </row>
    <row r="98" spans="1:9" x14ac:dyDescent="0.25">
      <c r="A98" s="2">
        <v>45352</v>
      </c>
      <c r="B98">
        <v>16</v>
      </c>
      <c r="C98">
        <v>9</v>
      </c>
      <c r="D98" s="3">
        <v>199.87</v>
      </c>
      <c r="E98">
        <v>9</v>
      </c>
      <c r="F98">
        <v>818.64</v>
      </c>
      <c r="G98" t="s">
        <v>19</v>
      </c>
      <c r="H98" t="s">
        <v>38</v>
      </c>
      <c r="I98" t="s">
        <v>45</v>
      </c>
    </row>
    <row r="99" spans="1:9" x14ac:dyDescent="0.25">
      <c r="A99" s="2">
        <v>45352</v>
      </c>
      <c r="B99">
        <v>30</v>
      </c>
      <c r="C99">
        <v>5</v>
      </c>
      <c r="D99" s="3">
        <v>565.19000000000005</v>
      </c>
      <c r="E99">
        <v>4</v>
      </c>
      <c r="F99">
        <v>3621.51</v>
      </c>
      <c r="G99" t="s">
        <v>20</v>
      </c>
      <c r="H99" t="s">
        <v>43</v>
      </c>
      <c r="I99" t="s">
        <v>45</v>
      </c>
    </row>
    <row r="100" spans="1:9" x14ac:dyDescent="0.25">
      <c r="A100" s="2">
        <v>45352</v>
      </c>
      <c r="B100">
        <v>68</v>
      </c>
      <c r="C100">
        <v>19</v>
      </c>
      <c r="D100" s="3">
        <v>623.25</v>
      </c>
      <c r="E100">
        <v>3</v>
      </c>
      <c r="F100">
        <v>355.96</v>
      </c>
      <c r="G100" t="s">
        <v>21</v>
      </c>
      <c r="H100" t="s">
        <v>40</v>
      </c>
      <c r="I100" t="s">
        <v>46</v>
      </c>
    </row>
    <row r="101" spans="1:9" x14ac:dyDescent="0.25">
      <c r="A101" s="2">
        <v>45352</v>
      </c>
      <c r="B101">
        <v>61</v>
      </c>
      <c r="C101">
        <v>7</v>
      </c>
      <c r="D101" s="3">
        <v>190.5</v>
      </c>
      <c r="E101">
        <v>3</v>
      </c>
      <c r="F101">
        <v>661.2</v>
      </c>
      <c r="G101" t="s">
        <v>23</v>
      </c>
      <c r="H101" t="s">
        <v>43</v>
      </c>
      <c r="I101" t="s">
        <v>46</v>
      </c>
    </row>
    <row r="102" spans="1:9" x14ac:dyDescent="0.25">
      <c r="A102" s="2">
        <v>45352</v>
      </c>
      <c r="B102">
        <v>83</v>
      </c>
      <c r="C102">
        <v>5</v>
      </c>
      <c r="D102" s="3">
        <v>170.12</v>
      </c>
      <c r="E102">
        <v>3</v>
      </c>
      <c r="F102">
        <v>1171.95</v>
      </c>
      <c r="G102" t="s">
        <v>24</v>
      </c>
      <c r="H102" t="s">
        <v>41</v>
      </c>
      <c r="I102" t="s">
        <v>45</v>
      </c>
    </row>
    <row r="103" spans="1:9" x14ac:dyDescent="0.25">
      <c r="A103" s="2">
        <v>45352</v>
      </c>
      <c r="B103">
        <v>74</v>
      </c>
      <c r="C103">
        <v>7</v>
      </c>
      <c r="D103" s="3">
        <v>87.89</v>
      </c>
      <c r="E103">
        <v>7</v>
      </c>
      <c r="F103">
        <v>3848.14</v>
      </c>
      <c r="G103" t="s">
        <v>25</v>
      </c>
      <c r="H103" t="s">
        <v>37</v>
      </c>
      <c r="I103" t="s">
        <v>45</v>
      </c>
    </row>
    <row r="104" spans="1:9" x14ac:dyDescent="0.25">
      <c r="A104" s="2">
        <v>45352</v>
      </c>
      <c r="B104">
        <v>84</v>
      </c>
      <c r="C104">
        <v>15</v>
      </c>
      <c r="D104" s="3">
        <v>163.21</v>
      </c>
      <c r="E104">
        <v>5</v>
      </c>
      <c r="F104">
        <v>411.36</v>
      </c>
      <c r="G104" t="s">
        <v>27</v>
      </c>
      <c r="H104" t="s">
        <v>43</v>
      </c>
      <c r="I104" t="s">
        <v>45</v>
      </c>
    </row>
    <row r="105" spans="1:9" x14ac:dyDescent="0.25">
      <c r="A105" s="2">
        <v>45352</v>
      </c>
      <c r="B105">
        <v>64</v>
      </c>
      <c r="C105">
        <v>13</v>
      </c>
      <c r="D105" s="3">
        <v>496.4</v>
      </c>
      <c r="E105">
        <v>0</v>
      </c>
      <c r="F105">
        <v>1306.3800000000001</v>
      </c>
      <c r="G105" t="s">
        <v>28</v>
      </c>
      <c r="H105" t="s">
        <v>38</v>
      </c>
      <c r="I105" t="s">
        <v>45</v>
      </c>
    </row>
    <row r="106" spans="1:9" x14ac:dyDescent="0.25">
      <c r="A106" s="2">
        <v>45352</v>
      </c>
      <c r="B106">
        <v>21</v>
      </c>
      <c r="C106">
        <v>13</v>
      </c>
      <c r="D106" s="3">
        <v>315.41000000000003</v>
      </c>
      <c r="E106">
        <v>1</v>
      </c>
      <c r="F106">
        <v>1692.59</v>
      </c>
      <c r="G106" t="s">
        <v>29</v>
      </c>
      <c r="H106" t="s">
        <v>38</v>
      </c>
      <c r="I106" t="s">
        <v>46</v>
      </c>
    </row>
    <row r="107" spans="1:9" x14ac:dyDescent="0.25">
      <c r="A107" s="2">
        <v>45352</v>
      </c>
      <c r="B107">
        <v>110</v>
      </c>
      <c r="C107">
        <v>6</v>
      </c>
      <c r="D107" s="3">
        <v>535.37</v>
      </c>
      <c r="E107">
        <v>2</v>
      </c>
      <c r="F107">
        <v>3113.29</v>
      </c>
      <c r="G107" t="s">
        <v>30</v>
      </c>
      <c r="H107" t="s">
        <v>36</v>
      </c>
      <c r="I107" t="s">
        <v>45</v>
      </c>
    </row>
    <row r="108" spans="1:9" x14ac:dyDescent="0.25">
      <c r="A108" s="2">
        <v>45352</v>
      </c>
      <c r="B108">
        <v>54</v>
      </c>
      <c r="C108">
        <v>15</v>
      </c>
      <c r="D108" s="3">
        <v>321.99</v>
      </c>
      <c r="E108">
        <v>8</v>
      </c>
      <c r="F108">
        <v>1080.0899999999999</v>
      </c>
      <c r="G108" t="s">
        <v>18</v>
      </c>
      <c r="H108" t="s">
        <v>44</v>
      </c>
      <c r="I108" t="s">
        <v>46</v>
      </c>
    </row>
    <row r="109" spans="1:9" x14ac:dyDescent="0.25">
      <c r="A109" s="2">
        <v>45352</v>
      </c>
      <c r="B109">
        <v>62</v>
      </c>
      <c r="C109">
        <v>8</v>
      </c>
      <c r="D109" s="3">
        <v>198.84</v>
      </c>
      <c r="E109">
        <v>8</v>
      </c>
      <c r="F109">
        <v>534.58000000000004</v>
      </c>
      <c r="G109" t="s">
        <v>31</v>
      </c>
      <c r="H109" t="s">
        <v>35</v>
      </c>
      <c r="I109" t="s">
        <v>45</v>
      </c>
    </row>
    <row r="110" spans="1:9" x14ac:dyDescent="0.25">
      <c r="A110" s="2">
        <v>45352</v>
      </c>
      <c r="B110">
        <v>28</v>
      </c>
      <c r="C110">
        <v>12</v>
      </c>
      <c r="D110" s="3">
        <v>533.85</v>
      </c>
      <c r="E110">
        <v>5</v>
      </c>
      <c r="F110">
        <v>224.87</v>
      </c>
      <c r="G110" t="s">
        <v>33</v>
      </c>
      <c r="H110" t="s">
        <v>43</v>
      </c>
      <c r="I110" t="s">
        <v>45</v>
      </c>
    </row>
    <row r="111" spans="1:9" x14ac:dyDescent="0.25">
      <c r="A111" s="2">
        <v>45352</v>
      </c>
      <c r="B111">
        <v>39</v>
      </c>
      <c r="C111">
        <v>16</v>
      </c>
      <c r="D111" s="3">
        <v>312.8</v>
      </c>
      <c r="E111">
        <v>8</v>
      </c>
      <c r="F111">
        <v>4592.09</v>
      </c>
      <c r="G111" t="s">
        <v>34</v>
      </c>
      <c r="H111" t="s">
        <v>36</v>
      </c>
      <c r="I111" t="s">
        <v>46</v>
      </c>
    </row>
    <row r="112" spans="1:9" x14ac:dyDescent="0.25">
      <c r="A112" s="2">
        <v>45352</v>
      </c>
      <c r="B112">
        <v>62</v>
      </c>
      <c r="C112">
        <v>9</v>
      </c>
      <c r="D112" s="3">
        <v>252.77</v>
      </c>
      <c r="E112">
        <v>7</v>
      </c>
      <c r="F112">
        <v>4641.6099999999997</v>
      </c>
      <c r="G112" t="s">
        <v>16</v>
      </c>
      <c r="H112" t="s">
        <v>43</v>
      </c>
      <c r="I112" t="s">
        <v>45</v>
      </c>
    </row>
    <row r="113" spans="1:9" x14ac:dyDescent="0.25">
      <c r="A113" s="2">
        <v>45352</v>
      </c>
      <c r="B113">
        <v>88</v>
      </c>
      <c r="C113">
        <v>18</v>
      </c>
      <c r="D113" s="3">
        <v>291.04000000000002</v>
      </c>
      <c r="E113">
        <v>2</v>
      </c>
      <c r="F113">
        <v>2619.84</v>
      </c>
      <c r="G113" t="s">
        <v>15</v>
      </c>
      <c r="H113" t="s">
        <v>35</v>
      </c>
      <c r="I113" t="s">
        <v>45</v>
      </c>
    </row>
    <row r="114" spans="1:9" x14ac:dyDescent="0.25">
      <c r="A114" s="2">
        <v>45352</v>
      </c>
      <c r="B114">
        <v>50</v>
      </c>
      <c r="C114">
        <v>8</v>
      </c>
      <c r="D114" s="3">
        <v>512.92999999999995</v>
      </c>
      <c r="E114">
        <v>3</v>
      </c>
      <c r="F114">
        <v>3725.66</v>
      </c>
      <c r="G114" t="s">
        <v>14</v>
      </c>
      <c r="H114" t="s">
        <v>35</v>
      </c>
      <c r="I114" t="s">
        <v>45</v>
      </c>
    </row>
    <row r="115" spans="1:9" x14ac:dyDescent="0.25">
      <c r="A115" s="2">
        <v>45352</v>
      </c>
      <c r="B115">
        <v>77</v>
      </c>
      <c r="C115">
        <v>14</v>
      </c>
      <c r="D115" s="3">
        <v>494.43</v>
      </c>
      <c r="E115">
        <v>4</v>
      </c>
      <c r="F115">
        <v>963.35</v>
      </c>
      <c r="G115" t="s">
        <v>13</v>
      </c>
      <c r="H115" t="s">
        <v>37</v>
      </c>
      <c r="I115" t="s">
        <v>46</v>
      </c>
    </row>
    <row r="116" spans="1:9" x14ac:dyDescent="0.25">
      <c r="A116" s="2">
        <v>45352</v>
      </c>
      <c r="B116">
        <v>19</v>
      </c>
      <c r="C116">
        <v>6</v>
      </c>
      <c r="D116" s="3">
        <v>82.65</v>
      </c>
      <c r="E116">
        <v>3</v>
      </c>
      <c r="F116">
        <v>1469.62</v>
      </c>
      <c r="G116" t="s">
        <v>12</v>
      </c>
      <c r="H116" t="s">
        <v>43</v>
      </c>
      <c r="I116" t="s">
        <v>46</v>
      </c>
    </row>
    <row r="117" spans="1:9" x14ac:dyDescent="0.25">
      <c r="A117" s="2">
        <v>45352</v>
      </c>
      <c r="B117">
        <v>59</v>
      </c>
      <c r="C117">
        <v>13</v>
      </c>
      <c r="D117" s="3">
        <v>402.9</v>
      </c>
      <c r="E117">
        <v>2</v>
      </c>
      <c r="F117">
        <v>3357.27</v>
      </c>
      <c r="G117" t="s">
        <v>11</v>
      </c>
      <c r="H117" t="s">
        <v>43</v>
      </c>
      <c r="I117" t="s">
        <v>45</v>
      </c>
    </row>
    <row r="118" spans="1:9" x14ac:dyDescent="0.25">
      <c r="A118" s="2">
        <v>45352</v>
      </c>
      <c r="B118">
        <v>91</v>
      </c>
      <c r="C118">
        <v>10</v>
      </c>
      <c r="D118" s="3">
        <v>361.58</v>
      </c>
      <c r="E118">
        <v>4</v>
      </c>
      <c r="F118">
        <v>3674.37</v>
      </c>
      <c r="G118" t="s">
        <v>10</v>
      </c>
      <c r="H118" t="s">
        <v>44</v>
      </c>
      <c r="I118" t="s">
        <v>45</v>
      </c>
    </row>
    <row r="119" spans="1:9" x14ac:dyDescent="0.25">
      <c r="A119" s="2">
        <v>45352</v>
      </c>
      <c r="B119">
        <v>55</v>
      </c>
      <c r="C119">
        <v>17</v>
      </c>
      <c r="D119" s="3">
        <v>315.62</v>
      </c>
      <c r="E119">
        <v>5</v>
      </c>
      <c r="F119">
        <v>3890.73</v>
      </c>
      <c r="G119" t="s">
        <v>9</v>
      </c>
      <c r="H119" t="s">
        <v>38</v>
      </c>
      <c r="I119" t="s">
        <v>46</v>
      </c>
    </row>
    <row r="120" spans="1:9" x14ac:dyDescent="0.25">
      <c r="A120" s="2">
        <v>45352</v>
      </c>
      <c r="B120">
        <v>108</v>
      </c>
      <c r="C120">
        <v>14</v>
      </c>
      <c r="D120" s="3">
        <v>416.78</v>
      </c>
      <c r="E120">
        <v>1</v>
      </c>
      <c r="F120">
        <v>2989.69</v>
      </c>
      <c r="G120" t="s">
        <v>32</v>
      </c>
      <c r="H120" t="s">
        <v>35</v>
      </c>
      <c r="I120" t="s">
        <v>45</v>
      </c>
    </row>
    <row r="121" spans="1:9" x14ac:dyDescent="0.25">
      <c r="A121" s="2">
        <v>45352</v>
      </c>
      <c r="B121">
        <v>33</v>
      </c>
      <c r="C121">
        <v>18</v>
      </c>
      <c r="D121" s="3">
        <v>348.57</v>
      </c>
      <c r="E121">
        <v>8</v>
      </c>
      <c r="F121">
        <v>1169.6400000000001</v>
      </c>
      <c r="G121" t="s">
        <v>17</v>
      </c>
      <c r="H121" t="s">
        <v>41</v>
      </c>
      <c r="I121" t="s">
        <v>45</v>
      </c>
    </row>
    <row r="122" spans="1:9" x14ac:dyDescent="0.25">
      <c r="A122" s="2">
        <v>45355</v>
      </c>
      <c r="B122">
        <v>88</v>
      </c>
      <c r="C122">
        <v>42</v>
      </c>
      <c r="D122" s="3">
        <v>593.31978925058775</v>
      </c>
      <c r="E122">
        <v>7</v>
      </c>
      <c r="F122">
        <v>3750.2011933504659</v>
      </c>
      <c r="G122" t="s">
        <v>48</v>
      </c>
      <c r="H122" t="s">
        <v>37</v>
      </c>
      <c r="I122" t="s">
        <v>46</v>
      </c>
    </row>
    <row r="123" spans="1:9" x14ac:dyDescent="0.25">
      <c r="A123" s="2">
        <v>45356</v>
      </c>
      <c r="B123">
        <v>67</v>
      </c>
      <c r="C123">
        <v>77</v>
      </c>
      <c r="D123" s="3">
        <v>287.13539787806019</v>
      </c>
      <c r="E123">
        <v>25</v>
      </c>
      <c r="F123">
        <v>4350.6341064782864</v>
      </c>
      <c r="G123" t="s">
        <v>49</v>
      </c>
      <c r="H123" t="s">
        <v>43</v>
      </c>
      <c r="I123" t="s">
        <v>45</v>
      </c>
    </row>
    <row r="124" spans="1:9" x14ac:dyDescent="0.25">
      <c r="A124" s="2">
        <v>45357</v>
      </c>
      <c r="B124">
        <v>53</v>
      </c>
      <c r="C124">
        <v>42</v>
      </c>
      <c r="D124" s="3">
        <v>285.32107353344537</v>
      </c>
      <c r="E124">
        <v>4</v>
      </c>
      <c r="F124">
        <v>4235.9893905514618</v>
      </c>
      <c r="G124" t="s">
        <v>47</v>
      </c>
      <c r="H124" t="s">
        <v>44</v>
      </c>
      <c r="I124" t="s">
        <v>45</v>
      </c>
    </row>
    <row r="125" spans="1:9" x14ac:dyDescent="0.25">
      <c r="A125" s="2">
        <v>45358</v>
      </c>
      <c r="B125">
        <v>74</v>
      </c>
      <c r="C125">
        <v>23</v>
      </c>
      <c r="D125" s="3">
        <v>506.39978362875132</v>
      </c>
      <c r="E125">
        <v>5</v>
      </c>
      <c r="F125">
        <v>2287.325883283047</v>
      </c>
      <c r="G125" t="s">
        <v>12</v>
      </c>
      <c r="H125" t="s">
        <v>42</v>
      </c>
      <c r="I125" t="s">
        <v>46</v>
      </c>
    </row>
    <row r="126" spans="1:9" x14ac:dyDescent="0.25">
      <c r="A126" s="2">
        <v>45359</v>
      </c>
      <c r="B126">
        <v>63</v>
      </c>
      <c r="C126">
        <v>30</v>
      </c>
      <c r="D126" s="3">
        <v>573.62428869192934</v>
      </c>
      <c r="E126">
        <v>25</v>
      </c>
      <c r="F126">
        <v>3506.3831145679078</v>
      </c>
      <c r="G126" t="s">
        <v>10</v>
      </c>
      <c r="H126" t="s">
        <v>38</v>
      </c>
      <c r="I126" t="s">
        <v>46</v>
      </c>
    </row>
    <row r="127" spans="1:9" x14ac:dyDescent="0.25">
      <c r="A127" s="2">
        <v>45362</v>
      </c>
      <c r="B127">
        <v>99</v>
      </c>
      <c r="C127">
        <v>57</v>
      </c>
      <c r="D127" s="3">
        <v>593.00053191143547</v>
      </c>
      <c r="E127">
        <v>3</v>
      </c>
      <c r="F127">
        <v>1422.4293293711939</v>
      </c>
      <c r="G127" t="s">
        <v>47</v>
      </c>
      <c r="H127" t="s">
        <v>36</v>
      </c>
      <c r="I127" t="s">
        <v>45</v>
      </c>
    </row>
    <row r="128" spans="1:9" x14ac:dyDescent="0.25">
      <c r="A128" s="2">
        <v>45363</v>
      </c>
      <c r="B128">
        <v>58</v>
      </c>
      <c r="C128">
        <v>29</v>
      </c>
      <c r="D128" s="3">
        <v>476.68909262947079</v>
      </c>
      <c r="E128">
        <v>18</v>
      </c>
      <c r="F128">
        <v>1819.16478617456</v>
      </c>
      <c r="G128" t="s">
        <v>9</v>
      </c>
      <c r="H128" t="s">
        <v>42</v>
      </c>
      <c r="I128" t="s">
        <v>45</v>
      </c>
    </row>
    <row r="129" spans="1:9" x14ac:dyDescent="0.25">
      <c r="A129" s="2">
        <v>45364</v>
      </c>
      <c r="B129">
        <v>75</v>
      </c>
      <c r="C129">
        <v>17</v>
      </c>
      <c r="D129" s="3">
        <v>288.12979276545792</v>
      </c>
      <c r="E129">
        <v>19</v>
      </c>
      <c r="F129">
        <v>4533.5111833450392</v>
      </c>
      <c r="G129" t="s">
        <v>18</v>
      </c>
      <c r="H129" t="s">
        <v>42</v>
      </c>
      <c r="I129" t="s">
        <v>46</v>
      </c>
    </row>
    <row r="130" spans="1:9" x14ac:dyDescent="0.25">
      <c r="A130" s="2">
        <v>45365</v>
      </c>
      <c r="B130">
        <v>51</v>
      </c>
      <c r="C130">
        <v>16</v>
      </c>
      <c r="D130" s="3">
        <v>141.75035834933439</v>
      </c>
      <c r="E130">
        <v>32</v>
      </c>
      <c r="F130">
        <v>558.50865579831213</v>
      </c>
      <c r="G130" t="s">
        <v>18</v>
      </c>
      <c r="H130" t="s">
        <v>38</v>
      </c>
      <c r="I130" t="s">
        <v>46</v>
      </c>
    </row>
    <row r="131" spans="1:9" x14ac:dyDescent="0.25">
      <c r="A131" s="2">
        <v>45366</v>
      </c>
      <c r="B131">
        <v>69</v>
      </c>
      <c r="C131">
        <v>76</v>
      </c>
      <c r="D131" s="3">
        <v>488.5734579637184</v>
      </c>
      <c r="E131">
        <v>19</v>
      </c>
      <c r="F131">
        <v>884.78838884510628</v>
      </c>
      <c r="G131" t="s">
        <v>49</v>
      </c>
      <c r="H131" t="s">
        <v>36</v>
      </c>
      <c r="I131" t="s">
        <v>45</v>
      </c>
    </row>
    <row r="132" spans="1:9" x14ac:dyDescent="0.25">
      <c r="A132" s="2">
        <v>45369</v>
      </c>
      <c r="B132">
        <v>77</v>
      </c>
      <c r="C132">
        <v>26</v>
      </c>
      <c r="D132" s="3">
        <v>379.20212486790251</v>
      </c>
      <c r="E132">
        <v>11</v>
      </c>
      <c r="F132">
        <v>1435.4881481571231</v>
      </c>
      <c r="G132" t="s">
        <v>10</v>
      </c>
      <c r="H132" t="s">
        <v>42</v>
      </c>
      <c r="I132" t="s">
        <v>46</v>
      </c>
    </row>
    <row r="133" spans="1:9" x14ac:dyDescent="0.25">
      <c r="A133" s="2">
        <v>45370</v>
      </c>
      <c r="B133">
        <v>96</v>
      </c>
      <c r="C133">
        <v>42</v>
      </c>
      <c r="D133" s="3">
        <v>312.11100462348821</v>
      </c>
      <c r="E133">
        <v>0</v>
      </c>
      <c r="F133">
        <v>619.39491743218878</v>
      </c>
      <c r="G133" t="s">
        <v>48</v>
      </c>
      <c r="H133" t="s">
        <v>44</v>
      </c>
      <c r="I133" t="s">
        <v>45</v>
      </c>
    </row>
    <row r="134" spans="1:9" x14ac:dyDescent="0.25">
      <c r="A134" s="2">
        <v>45371</v>
      </c>
      <c r="B134">
        <v>56</v>
      </c>
      <c r="C134">
        <v>57</v>
      </c>
      <c r="D134" s="3">
        <v>553.17719254736801</v>
      </c>
      <c r="E134">
        <v>25</v>
      </c>
      <c r="F134">
        <v>1316.4594579040879</v>
      </c>
      <c r="G134" t="s">
        <v>12</v>
      </c>
      <c r="H134" t="s">
        <v>44</v>
      </c>
      <c r="I134" t="s">
        <v>45</v>
      </c>
    </row>
    <row r="135" spans="1:9" x14ac:dyDescent="0.25">
      <c r="A135" s="2">
        <v>45372</v>
      </c>
      <c r="B135">
        <v>93</v>
      </c>
      <c r="C135">
        <v>68</v>
      </c>
      <c r="D135" s="3">
        <v>155.59874115307571</v>
      </c>
      <c r="E135">
        <v>13</v>
      </c>
      <c r="F135">
        <v>3123.6870243636149</v>
      </c>
      <c r="G135" t="s">
        <v>34</v>
      </c>
      <c r="H135" t="s">
        <v>44</v>
      </c>
      <c r="I135" t="s">
        <v>45</v>
      </c>
    </row>
    <row r="136" spans="1:9" x14ac:dyDescent="0.25">
      <c r="A136" s="2">
        <v>45373</v>
      </c>
      <c r="B136">
        <v>57</v>
      </c>
      <c r="C136">
        <v>31</v>
      </c>
      <c r="D136" s="3">
        <v>346.31255214542949</v>
      </c>
      <c r="E136">
        <v>37</v>
      </c>
      <c r="F136">
        <v>2396.4104776662411</v>
      </c>
      <c r="G136" t="s">
        <v>10</v>
      </c>
      <c r="H136" t="s">
        <v>36</v>
      </c>
      <c r="I136" t="s">
        <v>45</v>
      </c>
    </row>
    <row r="137" spans="1:9" x14ac:dyDescent="0.25">
      <c r="A137" s="2">
        <v>45376</v>
      </c>
      <c r="B137">
        <v>96</v>
      </c>
      <c r="C137">
        <v>39</v>
      </c>
      <c r="D137" s="3">
        <v>105.67682238370951</v>
      </c>
      <c r="E137">
        <v>36</v>
      </c>
      <c r="F137">
        <v>4517.0226998463868</v>
      </c>
      <c r="G137" t="s">
        <v>18</v>
      </c>
      <c r="H137" t="s">
        <v>42</v>
      </c>
      <c r="I137" t="s">
        <v>46</v>
      </c>
    </row>
    <row r="138" spans="1:9" x14ac:dyDescent="0.25">
      <c r="A138" s="2">
        <v>45377</v>
      </c>
      <c r="B138">
        <v>84</v>
      </c>
      <c r="C138">
        <v>47</v>
      </c>
      <c r="D138" s="3">
        <v>334.33032099706321</v>
      </c>
      <c r="E138">
        <v>10</v>
      </c>
      <c r="F138">
        <v>4178.4960278229846</v>
      </c>
      <c r="G138" t="s">
        <v>9</v>
      </c>
      <c r="H138" t="s">
        <v>40</v>
      </c>
      <c r="I138" t="s">
        <v>46</v>
      </c>
    </row>
    <row r="139" spans="1:9" x14ac:dyDescent="0.25">
      <c r="A139" s="2">
        <v>45378</v>
      </c>
      <c r="B139">
        <v>63</v>
      </c>
      <c r="C139">
        <v>60</v>
      </c>
      <c r="D139" s="3">
        <v>128.15163784091871</v>
      </c>
      <c r="E139">
        <v>35</v>
      </c>
      <c r="F139">
        <v>2038.178082640442</v>
      </c>
      <c r="G139" t="s">
        <v>10</v>
      </c>
      <c r="H139" t="s">
        <v>36</v>
      </c>
      <c r="I139" t="s">
        <v>45</v>
      </c>
    </row>
    <row r="140" spans="1:9" x14ac:dyDescent="0.25">
      <c r="A140" s="2">
        <v>45379</v>
      </c>
      <c r="B140">
        <v>66</v>
      </c>
      <c r="C140">
        <v>63</v>
      </c>
      <c r="D140" s="3">
        <v>159.408958134036</v>
      </c>
      <c r="E140">
        <v>12</v>
      </c>
      <c r="F140">
        <v>1667.4054504408159</v>
      </c>
      <c r="G140" t="s">
        <v>49</v>
      </c>
      <c r="H140" t="s">
        <v>44</v>
      </c>
      <c r="I140" t="s">
        <v>45</v>
      </c>
    </row>
    <row r="141" spans="1:9" x14ac:dyDescent="0.25">
      <c r="A141" s="2">
        <v>45380</v>
      </c>
      <c r="B141">
        <v>85</v>
      </c>
      <c r="C141">
        <v>17</v>
      </c>
      <c r="D141" s="3">
        <v>158.76312338855249</v>
      </c>
      <c r="E141">
        <v>2</v>
      </c>
      <c r="F141">
        <v>2208.6158367527009</v>
      </c>
      <c r="G141" t="s">
        <v>49</v>
      </c>
      <c r="H141" t="s">
        <v>38</v>
      </c>
      <c r="I141" t="s">
        <v>45</v>
      </c>
    </row>
    <row r="142" spans="1:9" x14ac:dyDescent="0.25">
      <c r="A142" s="2">
        <v>45383</v>
      </c>
      <c r="B142">
        <v>83</v>
      </c>
      <c r="C142">
        <v>11</v>
      </c>
      <c r="D142" s="3">
        <v>365.12</v>
      </c>
      <c r="E142">
        <v>5</v>
      </c>
      <c r="F142">
        <v>3682.69</v>
      </c>
      <c r="G142" t="s">
        <v>10</v>
      </c>
      <c r="H142" t="s">
        <v>36</v>
      </c>
      <c r="I142" t="s">
        <v>45</v>
      </c>
    </row>
    <row r="143" spans="1:9" x14ac:dyDescent="0.25">
      <c r="A143" s="2">
        <v>45383</v>
      </c>
      <c r="B143">
        <v>41</v>
      </c>
      <c r="C143">
        <v>14</v>
      </c>
      <c r="D143" s="3">
        <v>416.88</v>
      </c>
      <c r="E143">
        <v>2</v>
      </c>
      <c r="F143">
        <v>3638.83</v>
      </c>
      <c r="G143" t="s">
        <v>11</v>
      </c>
      <c r="H143" t="s">
        <v>41</v>
      </c>
      <c r="I143" t="s">
        <v>46</v>
      </c>
    </row>
    <row r="144" spans="1:9" x14ac:dyDescent="0.25">
      <c r="A144" s="2">
        <v>45383</v>
      </c>
      <c r="B144">
        <v>17</v>
      </c>
      <c r="C144">
        <v>7</v>
      </c>
      <c r="D144" s="3">
        <v>81.14</v>
      </c>
      <c r="E144">
        <v>3</v>
      </c>
      <c r="F144">
        <v>1419.04</v>
      </c>
      <c r="G144" t="s">
        <v>12</v>
      </c>
      <c r="H144" t="s">
        <v>36</v>
      </c>
      <c r="I144" t="s">
        <v>45</v>
      </c>
    </row>
    <row r="145" spans="1:9" x14ac:dyDescent="0.25">
      <c r="A145" s="2">
        <v>45383</v>
      </c>
      <c r="B145">
        <v>76</v>
      </c>
      <c r="C145">
        <v>16</v>
      </c>
      <c r="D145" s="3">
        <v>449.04</v>
      </c>
      <c r="E145">
        <v>4</v>
      </c>
      <c r="F145">
        <v>1019.97</v>
      </c>
      <c r="G145" t="s">
        <v>13</v>
      </c>
      <c r="H145" t="s">
        <v>41</v>
      </c>
      <c r="I145" t="s">
        <v>45</v>
      </c>
    </row>
    <row r="146" spans="1:9" x14ac:dyDescent="0.25">
      <c r="A146" s="2">
        <v>45383</v>
      </c>
      <c r="B146">
        <v>72</v>
      </c>
      <c r="C146">
        <v>6</v>
      </c>
      <c r="D146" s="3">
        <v>508.55</v>
      </c>
      <c r="E146">
        <v>3</v>
      </c>
      <c r="F146">
        <v>3633.75</v>
      </c>
      <c r="G146" t="s">
        <v>14</v>
      </c>
      <c r="H146" t="s">
        <v>36</v>
      </c>
      <c r="I146" t="s">
        <v>46</v>
      </c>
    </row>
    <row r="147" spans="1:9" x14ac:dyDescent="0.25">
      <c r="A147" s="2">
        <v>45383</v>
      </c>
      <c r="B147">
        <v>72</v>
      </c>
      <c r="C147">
        <v>18</v>
      </c>
      <c r="D147" s="3">
        <v>299.08999999999997</v>
      </c>
      <c r="E147">
        <v>2</v>
      </c>
      <c r="F147">
        <v>2378.29</v>
      </c>
      <c r="G147" t="s">
        <v>15</v>
      </c>
      <c r="H147" t="s">
        <v>41</v>
      </c>
      <c r="I147" t="s">
        <v>46</v>
      </c>
    </row>
    <row r="148" spans="1:9" x14ac:dyDescent="0.25">
      <c r="A148" s="2">
        <v>45383</v>
      </c>
      <c r="B148">
        <v>91</v>
      </c>
      <c r="C148">
        <v>5</v>
      </c>
      <c r="D148" s="3">
        <v>605.11</v>
      </c>
      <c r="E148">
        <v>2</v>
      </c>
      <c r="F148">
        <v>3499.88</v>
      </c>
      <c r="G148" t="s">
        <v>30</v>
      </c>
      <c r="H148" t="s">
        <v>42</v>
      </c>
      <c r="I148" t="s">
        <v>46</v>
      </c>
    </row>
    <row r="149" spans="1:9" x14ac:dyDescent="0.25">
      <c r="A149" s="2">
        <v>45383</v>
      </c>
      <c r="B149">
        <v>29</v>
      </c>
      <c r="C149">
        <v>16</v>
      </c>
      <c r="D149" s="3">
        <v>412.07</v>
      </c>
      <c r="E149">
        <v>10</v>
      </c>
      <c r="F149">
        <v>1075.94</v>
      </c>
      <c r="G149" t="s">
        <v>17</v>
      </c>
      <c r="H149" t="s">
        <v>42</v>
      </c>
      <c r="I149" t="s">
        <v>45</v>
      </c>
    </row>
    <row r="150" spans="1:9" x14ac:dyDescent="0.25">
      <c r="A150" s="2">
        <v>45383</v>
      </c>
      <c r="B150">
        <v>69</v>
      </c>
      <c r="C150">
        <v>17</v>
      </c>
      <c r="D150" s="3">
        <v>342.81</v>
      </c>
      <c r="E150">
        <v>6</v>
      </c>
      <c r="F150">
        <v>3728.2</v>
      </c>
      <c r="G150" t="s">
        <v>9</v>
      </c>
      <c r="H150" t="s">
        <v>39</v>
      </c>
      <c r="I150" t="s">
        <v>45</v>
      </c>
    </row>
    <row r="151" spans="1:9" x14ac:dyDescent="0.25">
      <c r="A151" s="2">
        <v>45383</v>
      </c>
      <c r="B151">
        <v>64</v>
      </c>
      <c r="C151">
        <v>13</v>
      </c>
      <c r="D151" s="3">
        <v>317.58</v>
      </c>
      <c r="E151">
        <v>8</v>
      </c>
      <c r="F151">
        <v>1088.22</v>
      </c>
      <c r="G151" t="s">
        <v>18</v>
      </c>
      <c r="H151" t="s">
        <v>41</v>
      </c>
      <c r="I151" t="s">
        <v>45</v>
      </c>
    </row>
    <row r="152" spans="1:9" x14ac:dyDescent="0.25">
      <c r="A152" s="2">
        <v>45383</v>
      </c>
      <c r="B152">
        <v>16</v>
      </c>
      <c r="C152">
        <v>7</v>
      </c>
      <c r="D152" s="3">
        <v>181.58</v>
      </c>
      <c r="E152">
        <v>6</v>
      </c>
      <c r="F152">
        <v>868.4</v>
      </c>
      <c r="G152" t="s">
        <v>19</v>
      </c>
      <c r="H152" t="s">
        <v>39</v>
      </c>
      <c r="I152" t="s">
        <v>46</v>
      </c>
    </row>
    <row r="153" spans="1:9" x14ac:dyDescent="0.25">
      <c r="A153" s="2">
        <v>45383</v>
      </c>
      <c r="B153">
        <v>37</v>
      </c>
      <c r="C153">
        <v>7</v>
      </c>
      <c r="D153" s="3">
        <v>470.85</v>
      </c>
      <c r="E153">
        <v>7</v>
      </c>
      <c r="F153">
        <v>3483.6</v>
      </c>
      <c r="G153" t="s">
        <v>20</v>
      </c>
      <c r="H153" t="s">
        <v>40</v>
      </c>
      <c r="I153" t="s">
        <v>45</v>
      </c>
    </row>
    <row r="154" spans="1:9" x14ac:dyDescent="0.25">
      <c r="A154" s="2">
        <v>45383</v>
      </c>
      <c r="B154">
        <v>81</v>
      </c>
      <c r="C154">
        <v>16</v>
      </c>
      <c r="D154" s="3">
        <v>584.29999999999995</v>
      </c>
      <c r="E154">
        <v>3</v>
      </c>
      <c r="F154">
        <v>377.45</v>
      </c>
      <c r="G154" t="s">
        <v>21</v>
      </c>
      <c r="H154" t="s">
        <v>38</v>
      </c>
      <c r="I154" t="s">
        <v>46</v>
      </c>
    </row>
    <row r="155" spans="1:9" x14ac:dyDescent="0.25">
      <c r="A155" s="2">
        <v>45383</v>
      </c>
      <c r="B155">
        <v>44</v>
      </c>
      <c r="C155">
        <v>6</v>
      </c>
      <c r="D155" s="3">
        <v>246.21</v>
      </c>
      <c r="E155">
        <v>5</v>
      </c>
      <c r="F155">
        <v>4155.8</v>
      </c>
      <c r="G155" t="s">
        <v>16</v>
      </c>
      <c r="H155" t="s">
        <v>43</v>
      </c>
      <c r="I155" t="s">
        <v>46</v>
      </c>
    </row>
    <row r="156" spans="1:9" x14ac:dyDescent="0.25">
      <c r="A156" s="2">
        <v>45383</v>
      </c>
      <c r="B156">
        <v>103</v>
      </c>
      <c r="C156">
        <v>6</v>
      </c>
      <c r="D156" s="3">
        <v>165.74</v>
      </c>
      <c r="E156">
        <v>6</v>
      </c>
      <c r="F156">
        <v>1169.3800000000001</v>
      </c>
      <c r="G156" t="s">
        <v>24</v>
      </c>
      <c r="H156" t="s">
        <v>41</v>
      </c>
      <c r="I156" t="s">
        <v>45</v>
      </c>
    </row>
    <row r="157" spans="1:9" x14ac:dyDescent="0.25">
      <c r="A157" s="2">
        <v>45383</v>
      </c>
      <c r="B157">
        <v>63</v>
      </c>
      <c r="C157">
        <v>11</v>
      </c>
      <c r="D157" s="3">
        <v>554.51</v>
      </c>
      <c r="E157">
        <v>1</v>
      </c>
      <c r="F157">
        <v>1138.51</v>
      </c>
      <c r="G157" t="s">
        <v>28</v>
      </c>
      <c r="H157" t="s">
        <v>42</v>
      </c>
      <c r="I157" t="s">
        <v>46</v>
      </c>
    </row>
    <row r="158" spans="1:9" x14ac:dyDescent="0.25">
      <c r="A158" s="2">
        <v>45383</v>
      </c>
      <c r="B158">
        <v>26</v>
      </c>
      <c r="C158">
        <v>17</v>
      </c>
      <c r="D158" s="3">
        <v>526.34</v>
      </c>
      <c r="E158">
        <v>6</v>
      </c>
      <c r="F158">
        <v>3360.11</v>
      </c>
      <c r="G158" t="s">
        <v>26</v>
      </c>
      <c r="H158" t="s">
        <v>44</v>
      </c>
      <c r="I158" t="s">
        <v>46</v>
      </c>
    </row>
    <row r="159" spans="1:9" x14ac:dyDescent="0.25">
      <c r="A159" s="2">
        <v>45383</v>
      </c>
      <c r="B159">
        <v>104</v>
      </c>
      <c r="C159">
        <v>22</v>
      </c>
      <c r="D159" s="3">
        <v>190.87</v>
      </c>
      <c r="E159">
        <v>4</v>
      </c>
      <c r="F159">
        <v>433.41</v>
      </c>
      <c r="G159" t="s">
        <v>27</v>
      </c>
      <c r="H159" t="s">
        <v>36</v>
      </c>
      <c r="I159" t="s">
        <v>45</v>
      </c>
    </row>
    <row r="160" spans="1:9" x14ac:dyDescent="0.25">
      <c r="A160" s="2">
        <v>45383</v>
      </c>
      <c r="B160">
        <v>26</v>
      </c>
      <c r="C160">
        <v>6</v>
      </c>
      <c r="D160" s="3">
        <v>231.59</v>
      </c>
      <c r="E160">
        <v>2</v>
      </c>
      <c r="F160">
        <v>3988.15</v>
      </c>
      <c r="G160" t="s">
        <v>22</v>
      </c>
      <c r="H160" t="s">
        <v>42</v>
      </c>
      <c r="I160" t="s">
        <v>46</v>
      </c>
    </row>
    <row r="161" spans="1:9" x14ac:dyDescent="0.25">
      <c r="A161" s="2">
        <v>45383</v>
      </c>
      <c r="B161">
        <v>22</v>
      </c>
      <c r="C161">
        <v>13</v>
      </c>
      <c r="D161" s="3">
        <v>302.49</v>
      </c>
      <c r="E161">
        <v>2</v>
      </c>
      <c r="F161">
        <v>1591.45</v>
      </c>
      <c r="G161" t="s">
        <v>29</v>
      </c>
      <c r="H161" t="s">
        <v>40</v>
      </c>
      <c r="I161" t="s">
        <v>45</v>
      </c>
    </row>
    <row r="162" spans="1:9" x14ac:dyDescent="0.25">
      <c r="A162" s="2">
        <v>45383</v>
      </c>
      <c r="B162">
        <v>77</v>
      </c>
      <c r="C162">
        <v>8</v>
      </c>
      <c r="D162" s="3">
        <v>173.88</v>
      </c>
      <c r="E162">
        <v>6</v>
      </c>
      <c r="F162">
        <v>462.44</v>
      </c>
      <c r="G162" t="s">
        <v>31</v>
      </c>
      <c r="H162" t="s">
        <v>35</v>
      </c>
      <c r="I162" t="s">
        <v>46</v>
      </c>
    </row>
    <row r="163" spans="1:9" x14ac:dyDescent="0.25">
      <c r="A163" s="2">
        <v>45383</v>
      </c>
      <c r="B163">
        <v>90</v>
      </c>
      <c r="C163">
        <v>17</v>
      </c>
      <c r="D163" s="3">
        <v>366.84</v>
      </c>
      <c r="E163">
        <v>0</v>
      </c>
      <c r="F163">
        <v>3153.56</v>
      </c>
      <c r="G163" t="s">
        <v>32</v>
      </c>
      <c r="H163" t="s">
        <v>38</v>
      </c>
      <c r="I163" t="s">
        <v>46</v>
      </c>
    </row>
    <row r="164" spans="1:9" x14ac:dyDescent="0.25">
      <c r="A164" s="2">
        <v>45383</v>
      </c>
      <c r="B164">
        <v>33</v>
      </c>
      <c r="C164">
        <v>9</v>
      </c>
      <c r="D164" s="3">
        <v>578.41999999999996</v>
      </c>
      <c r="E164">
        <v>4</v>
      </c>
      <c r="F164">
        <v>229.72</v>
      </c>
      <c r="G164" t="s">
        <v>33</v>
      </c>
      <c r="H164" t="s">
        <v>37</v>
      </c>
      <c r="I164" t="s">
        <v>45</v>
      </c>
    </row>
    <row r="165" spans="1:9" x14ac:dyDescent="0.25">
      <c r="A165" s="2">
        <v>45383</v>
      </c>
      <c r="B165">
        <v>42</v>
      </c>
      <c r="C165">
        <v>14</v>
      </c>
      <c r="D165" s="3">
        <v>321.29000000000002</v>
      </c>
      <c r="E165">
        <v>7</v>
      </c>
      <c r="F165">
        <v>4298.2700000000004</v>
      </c>
      <c r="G165" t="s">
        <v>34</v>
      </c>
      <c r="H165" t="s">
        <v>42</v>
      </c>
      <c r="I165" t="s">
        <v>45</v>
      </c>
    </row>
    <row r="166" spans="1:9" x14ac:dyDescent="0.25">
      <c r="A166" s="2">
        <v>45383</v>
      </c>
      <c r="B166">
        <v>100</v>
      </c>
      <c r="C166">
        <v>7</v>
      </c>
      <c r="D166" s="3">
        <v>82.62</v>
      </c>
      <c r="E166">
        <v>6</v>
      </c>
      <c r="F166">
        <v>4085.91</v>
      </c>
      <c r="G166" t="s">
        <v>25</v>
      </c>
      <c r="H166" t="s">
        <v>36</v>
      </c>
      <c r="I166" t="s">
        <v>46</v>
      </c>
    </row>
    <row r="167" spans="1:9" x14ac:dyDescent="0.25">
      <c r="A167" s="2">
        <v>45383</v>
      </c>
      <c r="B167">
        <v>69</v>
      </c>
      <c r="C167">
        <v>9</v>
      </c>
      <c r="D167" s="3">
        <v>221.01</v>
      </c>
      <c r="E167">
        <v>3</v>
      </c>
      <c r="F167">
        <v>643.44000000000005</v>
      </c>
      <c r="G167" t="s">
        <v>23</v>
      </c>
      <c r="H167" t="s">
        <v>41</v>
      </c>
      <c r="I167" t="s">
        <v>46</v>
      </c>
    </row>
    <row r="168" spans="1:9" x14ac:dyDescent="0.25">
      <c r="A168" s="2">
        <v>45384</v>
      </c>
      <c r="B168">
        <v>99</v>
      </c>
      <c r="C168">
        <v>36</v>
      </c>
      <c r="D168" s="3">
        <v>424.60515105803182</v>
      </c>
      <c r="E168">
        <v>32</v>
      </c>
      <c r="F168">
        <v>3156.3272413166351</v>
      </c>
      <c r="G168" t="s">
        <v>34</v>
      </c>
      <c r="H168" t="s">
        <v>42</v>
      </c>
      <c r="I168" t="s">
        <v>45</v>
      </c>
    </row>
    <row r="169" spans="1:9" x14ac:dyDescent="0.25">
      <c r="A169" s="2">
        <v>45385</v>
      </c>
      <c r="B169">
        <v>89</v>
      </c>
      <c r="C169">
        <v>36</v>
      </c>
      <c r="D169" s="3">
        <v>473.02243963271172</v>
      </c>
      <c r="E169">
        <v>5</v>
      </c>
      <c r="F169">
        <v>1706.2863837029431</v>
      </c>
      <c r="G169" t="s">
        <v>9</v>
      </c>
      <c r="H169" t="s">
        <v>42</v>
      </c>
      <c r="I169" t="s">
        <v>45</v>
      </c>
    </row>
    <row r="170" spans="1:9" x14ac:dyDescent="0.25">
      <c r="A170" s="2">
        <v>45386</v>
      </c>
      <c r="B170">
        <v>53</v>
      </c>
      <c r="C170">
        <v>30</v>
      </c>
      <c r="D170" s="3">
        <v>391.68438254857978</v>
      </c>
      <c r="E170">
        <v>9</v>
      </c>
      <c r="F170">
        <v>3308.6700853211032</v>
      </c>
      <c r="G170" t="s">
        <v>48</v>
      </c>
      <c r="H170" t="s">
        <v>35</v>
      </c>
      <c r="I170" t="s">
        <v>46</v>
      </c>
    </row>
    <row r="171" spans="1:9" x14ac:dyDescent="0.25">
      <c r="A171" s="2">
        <v>45387</v>
      </c>
      <c r="B171">
        <v>51</v>
      </c>
      <c r="C171">
        <v>39</v>
      </c>
      <c r="D171" s="3">
        <v>581.08627423727103</v>
      </c>
      <c r="E171">
        <v>4</v>
      </c>
      <c r="F171">
        <v>2342.352434860582</v>
      </c>
      <c r="G171" t="s">
        <v>10</v>
      </c>
      <c r="H171" t="s">
        <v>35</v>
      </c>
      <c r="I171" t="s">
        <v>46</v>
      </c>
    </row>
    <row r="172" spans="1:9" x14ac:dyDescent="0.25">
      <c r="A172" s="2">
        <v>45390</v>
      </c>
      <c r="B172">
        <v>55</v>
      </c>
      <c r="C172">
        <v>37</v>
      </c>
      <c r="D172" s="3">
        <v>287.435289761852</v>
      </c>
      <c r="E172">
        <v>22</v>
      </c>
      <c r="F172">
        <v>2984.2123138339111</v>
      </c>
      <c r="G172" t="s">
        <v>9</v>
      </c>
      <c r="H172" t="s">
        <v>37</v>
      </c>
      <c r="I172" t="s">
        <v>46</v>
      </c>
    </row>
    <row r="173" spans="1:9" x14ac:dyDescent="0.25">
      <c r="A173" s="2">
        <v>45391</v>
      </c>
      <c r="B173">
        <v>91</v>
      </c>
      <c r="C173">
        <v>73</v>
      </c>
      <c r="D173" s="3">
        <v>242.85604314093041</v>
      </c>
      <c r="E173">
        <v>9</v>
      </c>
      <c r="F173">
        <v>2462.569381108925</v>
      </c>
      <c r="G173" t="s">
        <v>48</v>
      </c>
      <c r="H173" t="s">
        <v>40</v>
      </c>
      <c r="I173" t="s">
        <v>46</v>
      </c>
    </row>
    <row r="174" spans="1:9" x14ac:dyDescent="0.25">
      <c r="A174" s="2">
        <v>45392</v>
      </c>
      <c r="B174">
        <v>53</v>
      </c>
      <c r="C174">
        <v>78</v>
      </c>
      <c r="D174" s="3">
        <v>534.29956409473016</v>
      </c>
      <c r="E174">
        <v>1</v>
      </c>
      <c r="F174">
        <v>1825.09591793863</v>
      </c>
      <c r="G174" t="s">
        <v>9</v>
      </c>
      <c r="H174" t="s">
        <v>40</v>
      </c>
      <c r="I174" t="s">
        <v>45</v>
      </c>
    </row>
    <row r="175" spans="1:9" x14ac:dyDescent="0.25">
      <c r="A175" s="2">
        <v>45393</v>
      </c>
      <c r="B175">
        <v>78</v>
      </c>
      <c r="C175">
        <v>70</v>
      </c>
      <c r="D175" s="3">
        <v>211.79791925972631</v>
      </c>
      <c r="E175">
        <v>12</v>
      </c>
      <c r="F175">
        <v>4768.0398813297052</v>
      </c>
      <c r="G175" t="s">
        <v>9</v>
      </c>
      <c r="H175" t="s">
        <v>43</v>
      </c>
      <c r="I175" t="s">
        <v>45</v>
      </c>
    </row>
    <row r="176" spans="1:9" x14ac:dyDescent="0.25">
      <c r="A176" s="2">
        <v>45394</v>
      </c>
      <c r="B176">
        <v>67</v>
      </c>
      <c r="C176">
        <v>57</v>
      </c>
      <c r="D176" s="3">
        <v>581.6112697203057</v>
      </c>
      <c r="E176">
        <v>39</v>
      </c>
      <c r="F176">
        <v>3936.226073718924</v>
      </c>
      <c r="G176" t="s">
        <v>47</v>
      </c>
      <c r="H176" t="s">
        <v>40</v>
      </c>
      <c r="I176" t="s">
        <v>45</v>
      </c>
    </row>
    <row r="177" spans="1:9" x14ac:dyDescent="0.25">
      <c r="A177" s="2">
        <v>45397</v>
      </c>
      <c r="B177">
        <v>75</v>
      </c>
      <c r="C177">
        <v>28</v>
      </c>
      <c r="D177" s="3">
        <v>106.0772373449082</v>
      </c>
      <c r="E177">
        <v>1</v>
      </c>
      <c r="F177">
        <v>1130.5092909490361</v>
      </c>
      <c r="G177" t="s">
        <v>49</v>
      </c>
      <c r="H177" t="s">
        <v>35</v>
      </c>
      <c r="I177" t="s">
        <v>45</v>
      </c>
    </row>
    <row r="178" spans="1:9" x14ac:dyDescent="0.25">
      <c r="A178" s="2">
        <v>45398</v>
      </c>
      <c r="B178">
        <v>93</v>
      </c>
      <c r="C178">
        <v>13</v>
      </c>
      <c r="D178" s="3">
        <v>584.93941335381953</v>
      </c>
      <c r="E178">
        <v>19</v>
      </c>
      <c r="F178">
        <v>4408.1058915406074</v>
      </c>
      <c r="G178" t="s">
        <v>10</v>
      </c>
      <c r="H178" t="s">
        <v>36</v>
      </c>
      <c r="I178" t="s">
        <v>45</v>
      </c>
    </row>
    <row r="179" spans="1:9" x14ac:dyDescent="0.25">
      <c r="A179" s="2">
        <v>45399</v>
      </c>
      <c r="B179">
        <v>83</v>
      </c>
      <c r="C179">
        <v>44</v>
      </c>
      <c r="D179" s="3">
        <v>121.5799559752881</v>
      </c>
      <c r="E179">
        <v>0</v>
      </c>
      <c r="F179">
        <v>2693.4403921228109</v>
      </c>
      <c r="G179" t="s">
        <v>9</v>
      </c>
      <c r="H179" t="s">
        <v>40</v>
      </c>
      <c r="I179" t="s">
        <v>46</v>
      </c>
    </row>
    <row r="180" spans="1:9" x14ac:dyDescent="0.25">
      <c r="A180" s="2">
        <v>45400</v>
      </c>
      <c r="B180">
        <v>59</v>
      </c>
      <c r="C180">
        <v>73</v>
      </c>
      <c r="D180" s="3">
        <v>545.57155684903546</v>
      </c>
      <c r="E180">
        <v>36</v>
      </c>
      <c r="F180">
        <v>4525.4850210234108</v>
      </c>
      <c r="G180" t="s">
        <v>10</v>
      </c>
      <c r="H180" t="s">
        <v>35</v>
      </c>
      <c r="I180" t="s">
        <v>45</v>
      </c>
    </row>
    <row r="181" spans="1:9" x14ac:dyDescent="0.25">
      <c r="A181" s="2">
        <v>45401</v>
      </c>
      <c r="B181">
        <v>85</v>
      </c>
      <c r="C181">
        <v>58</v>
      </c>
      <c r="D181" s="3">
        <v>363.85055454314988</v>
      </c>
      <c r="E181">
        <v>8</v>
      </c>
      <c r="F181">
        <v>4099.348651762919</v>
      </c>
      <c r="G181" t="s">
        <v>34</v>
      </c>
      <c r="H181" t="s">
        <v>37</v>
      </c>
      <c r="I181" t="s">
        <v>46</v>
      </c>
    </row>
    <row r="182" spans="1:9" x14ac:dyDescent="0.25">
      <c r="A182" s="2">
        <v>45404</v>
      </c>
      <c r="B182">
        <v>63</v>
      </c>
      <c r="C182">
        <v>26</v>
      </c>
      <c r="D182" s="3">
        <v>596.48239805965022</v>
      </c>
      <c r="E182">
        <v>16</v>
      </c>
      <c r="F182">
        <v>2413.460770111551</v>
      </c>
      <c r="G182" t="s">
        <v>9</v>
      </c>
      <c r="H182" t="s">
        <v>42</v>
      </c>
      <c r="I182" t="s">
        <v>46</v>
      </c>
    </row>
    <row r="183" spans="1:9" x14ac:dyDescent="0.25">
      <c r="A183" s="2">
        <v>45405</v>
      </c>
      <c r="B183">
        <v>80</v>
      </c>
      <c r="C183">
        <v>53</v>
      </c>
      <c r="D183" s="3">
        <v>136.89828236769941</v>
      </c>
      <c r="E183">
        <v>8</v>
      </c>
      <c r="F183">
        <v>601.11188744052833</v>
      </c>
      <c r="G183" t="s">
        <v>18</v>
      </c>
      <c r="H183" t="s">
        <v>40</v>
      </c>
      <c r="I183" t="s">
        <v>46</v>
      </c>
    </row>
    <row r="184" spans="1:9" x14ac:dyDescent="0.25">
      <c r="A184" s="2">
        <v>45406</v>
      </c>
      <c r="B184">
        <v>97</v>
      </c>
      <c r="C184">
        <v>39</v>
      </c>
      <c r="D184" s="3">
        <v>376.9271422006604</v>
      </c>
      <c r="E184">
        <v>10</v>
      </c>
      <c r="F184">
        <v>1709.048117232257</v>
      </c>
      <c r="G184" t="s">
        <v>49</v>
      </c>
      <c r="H184" t="s">
        <v>37</v>
      </c>
      <c r="I184" t="s">
        <v>46</v>
      </c>
    </row>
    <row r="185" spans="1:9" x14ac:dyDescent="0.25">
      <c r="A185" s="2">
        <v>45407</v>
      </c>
      <c r="B185">
        <v>64</v>
      </c>
      <c r="C185">
        <v>55</v>
      </c>
      <c r="D185" s="3">
        <v>584.65126780954949</v>
      </c>
      <c r="E185">
        <v>14</v>
      </c>
      <c r="F185">
        <v>2937.3539659739008</v>
      </c>
      <c r="G185" t="s">
        <v>18</v>
      </c>
      <c r="H185" t="s">
        <v>42</v>
      </c>
      <c r="I185" t="s">
        <v>45</v>
      </c>
    </row>
    <row r="186" spans="1:9" x14ac:dyDescent="0.25">
      <c r="A186" s="2">
        <v>45408</v>
      </c>
      <c r="B186">
        <v>57</v>
      </c>
      <c r="C186">
        <v>15</v>
      </c>
      <c r="D186" s="3">
        <v>361.54892208507442</v>
      </c>
      <c r="E186">
        <v>23</v>
      </c>
      <c r="F186">
        <v>3350.651989217663</v>
      </c>
      <c r="G186" t="s">
        <v>10</v>
      </c>
      <c r="H186" t="s">
        <v>38</v>
      </c>
      <c r="I186" t="s">
        <v>46</v>
      </c>
    </row>
    <row r="187" spans="1:9" x14ac:dyDescent="0.25">
      <c r="A187" s="2">
        <v>45411</v>
      </c>
      <c r="B187">
        <v>63</v>
      </c>
      <c r="C187">
        <v>46</v>
      </c>
      <c r="D187" s="3">
        <v>414.69931906763128</v>
      </c>
      <c r="E187">
        <v>37</v>
      </c>
      <c r="F187">
        <v>1660.49458444941</v>
      </c>
      <c r="G187" t="s">
        <v>10</v>
      </c>
      <c r="H187" t="s">
        <v>38</v>
      </c>
      <c r="I187" t="s">
        <v>46</v>
      </c>
    </row>
    <row r="188" spans="1:9" x14ac:dyDescent="0.25">
      <c r="A188" s="2">
        <v>45412</v>
      </c>
      <c r="B188">
        <v>72</v>
      </c>
      <c r="C188">
        <v>33</v>
      </c>
      <c r="D188" s="3">
        <v>447.87434449230858</v>
      </c>
      <c r="E188">
        <v>34</v>
      </c>
      <c r="F188">
        <v>1127.102333327708</v>
      </c>
      <c r="G188" t="s">
        <v>49</v>
      </c>
      <c r="H188" t="s">
        <v>42</v>
      </c>
      <c r="I188" t="s">
        <v>46</v>
      </c>
    </row>
    <row r="189" spans="1:9" x14ac:dyDescent="0.25">
      <c r="A189" s="2">
        <v>45413</v>
      </c>
      <c r="B189">
        <v>97</v>
      </c>
      <c r="C189">
        <v>5</v>
      </c>
      <c r="D189" s="3">
        <v>185.62</v>
      </c>
      <c r="E189">
        <v>4</v>
      </c>
      <c r="F189">
        <v>1282.81</v>
      </c>
      <c r="G189" t="s">
        <v>24</v>
      </c>
      <c r="H189" t="s">
        <v>36</v>
      </c>
      <c r="I189" t="s">
        <v>46</v>
      </c>
    </row>
    <row r="190" spans="1:9" x14ac:dyDescent="0.25">
      <c r="A190" s="2">
        <v>45413</v>
      </c>
      <c r="B190">
        <v>111</v>
      </c>
      <c r="C190">
        <v>13</v>
      </c>
      <c r="D190" s="3">
        <v>358.31</v>
      </c>
      <c r="E190">
        <v>0</v>
      </c>
      <c r="F190">
        <v>2811.77</v>
      </c>
      <c r="G190" t="s">
        <v>32</v>
      </c>
      <c r="H190" t="s">
        <v>37</v>
      </c>
      <c r="I190" t="s">
        <v>45</v>
      </c>
    </row>
    <row r="191" spans="1:9" x14ac:dyDescent="0.25">
      <c r="A191" s="2">
        <v>45413</v>
      </c>
      <c r="B191">
        <v>73</v>
      </c>
      <c r="C191">
        <v>8</v>
      </c>
      <c r="D191" s="3">
        <v>175.52</v>
      </c>
      <c r="E191">
        <v>7</v>
      </c>
      <c r="F191">
        <v>455.32</v>
      </c>
      <c r="G191" t="s">
        <v>31</v>
      </c>
      <c r="H191" t="s">
        <v>44</v>
      </c>
      <c r="I191" t="s">
        <v>45</v>
      </c>
    </row>
    <row r="192" spans="1:9" x14ac:dyDescent="0.25">
      <c r="A192" s="2">
        <v>45413</v>
      </c>
      <c r="B192">
        <v>105</v>
      </c>
      <c r="C192">
        <v>6</v>
      </c>
      <c r="D192" s="3">
        <v>567.03</v>
      </c>
      <c r="E192">
        <v>1</v>
      </c>
      <c r="F192">
        <v>3496.65</v>
      </c>
      <c r="G192" t="s">
        <v>30</v>
      </c>
      <c r="H192" t="s">
        <v>39</v>
      </c>
      <c r="I192" t="s">
        <v>45</v>
      </c>
    </row>
    <row r="193" spans="1:9" x14ac:dyDescent="0.25">
      <c r="A193" s="2">
        <v>45413</v>
      </c>
      <c r="B193">
        <v>19</v>
      </c>
      <c r="C193">
        <v>13</v>
      </c>
      <c r="D193" s="3">
        <v>316.23</v>
      </c>
      <c r="E193">
        <v>1</v>
      </c>
      <c r="F193">
        <v>1598.49</v>
      </c>
      <c r="G193" t="s">
        <v>29</v>
      </c>
      <c r="H193" t="s">
        <v>35</v>
      </c>
      <c r="I193" t="s">
        <v>45</v>
      </c>
    </row>
    <row r="194" spans="1:9" x14ac:dyDescent="0.25">
      <c r="A194" s="2">
        <v>45413</v>
      </c>
      <c r="B194">
        <v>91</v>
      </c>
      <c r="C194">
        <v>15</v>
      </c>
      <c r="D194" s="3">
        <v>173.03</v>
      </c>
      <c r="E194">
        <v>4</v>
      </c>
      <c r="F194">
        <v>386.08</v>
      </c>
      <c r="G194" t="s">
        <v>27</v>
      </c>
      <c r="H194" t="s">
        <v>44</v>
      </c>
      <c r="I194" t="s">
        <v>46</v>
      </c>
    </row>
    <row r="195" spans="1:9" x14ac:dyDescent="0.25">
      <c r="A195" s="2">
        <v>45413</v>
      </c>
      <c r="B195">
        <v>21</v>
      </c>
      <c r="C195">
        <v>14</v>
      </c>
      <c r="D195" s="3">
        <v>472.79</v>
      </c>
      <c r="E195">
        <v>8</v>
      </c>
      <c r="F195">
        <v>3830.32</v>
      </c>
      <c r="G195" t="s">
        <v>26</v>
      </c>
      <c r="H195" t="s">
        <v>36</v>
      </c>
      <c r="I195" t="s">
        <v>46</v>
      </c>
    </row>
    <row r="196" spans="1:9" x14ac:dyDescent="0.25">
      <c r="A196" s="2">
        <v>45413</v>
      </c>
      <c r="B196">
        <v>91</v>
      </c>
      <c r="C196">
        <v>7</v>
      </c>
      <c r="D196" s="3">
        <v>89.39</v>
      </c>
      <c r="E196">
        <v>6</v>
      </c>
      <c r="F196">
        <v>3971.59</v>
      </c>
      <c r="G196" t="s">
        <v>25</v>
      </c>
      <c r="H196" t="s">
        <v>44</v>
      </c>
      <c r="I196" t="s">
        <v>45</v>
      </c>
    </row>
    <row r="197" spans="1:9" x14ac:dyDescent="0.25">
      <c r="A197" s="2">
        <v>45413</v>
      </c>
      <c r="B197">
        <v>33</v>
      </c>
      <c r="C197">
        <v>17</v>
      </c>
      <c r="D197" s="3">
        <v>371.65</v>
      </c>
      <c r="E197">
        <v>9</v>
      </c>
      <c r="F197">
        <v>4068.75</v>
      </c>
      <c r="G197" t="s">
        <v>34</v>
      </c>
      <c r="H197" t="s">
        <v>40</v>
      </c>
      <c r="I197" t="s">
        <v>45</v>
      </c>
    </row>
    <row r="198" spans="1:9" x14ac:dyDescent="0.25">
      <c r="A198" s="2">
        <v>45413</v>
      </c>
      <c r="B198">
        <v>38</v>
      </c>
      <c r="C198">
        <v>12</v>
      </c>
      <c r="D198" s="3">
        <v>556.33000000000004</v>
      </c>
      <c r="E198">
        <v>4</v>
      </c>
      <c r="F198">
        <v>241.08</v>
      </c>
      <c r="G198" t="s">
        <v>33</v>
      </c>
      <c r="H198" t="s">
        <v>40</v>
      </c>
      <c r="I198" t="s">
        <v>45</v>
      </c>
    </row>
    <row r="199" spans="1:9" x14ac:dyDescent="0.25">
      <c r="A199" s="2">
        <v>45413</v>
      </c>
      <c r="B199">
        <v>50</v>
      </c>
      <c r="C199">
        <v>7</v>
      </c>
      <c r="D199" s="3">
        <v>196.2</v>
      </c>
      <c r="E199">
        <v>2</v>
      </c>
      <c r="F199">
        <v>592.71</v>
      </c>
      <c r="G199" t="s">
        <v>23</v>
      </c>
      <c r="H199" t="s">
        <v>36</v>
      </c>
      <c r="I199" t="s">
        <v>45</v>
      </c>
    </row>
    <row r="200" spans="1:9" x14ac:dyDescent="0.25">
      <c r="A200" s="2">
        <v>45413</v>
      </c>
      <c r="B200">
        <v>74</v>
      </c>
      <c r="C200">
        <v>20</v>
      </c>
      <c r="D200" s="3">
        <v>623.33000000000004</v>
      </c>
      <c r="E200">
        <v>2</v>
      </c>
      <c r="F200">
        <v>359.97</v>
      </c>
      <c r="G200" t="s">
        <v>21</v>
      </c>
      <c r="H200" t="s">
        <v>38</v>
      </c>
      <c r="I200" t="s">
        <v>45</v>
      </c>
    </row>
    <row r="201" spans="1:9" x14ac:dyDescent="0.25">
      <c r="A201" s="2">
        <v>45413</v>
      </c>
      <c r="B201">
        <v>26</v>
      </c>
      <c r="C201">
        <v>7</v>
      </c>
      <c r="D201" s="3">
        <v>200.45</v>
      </c>
      <c r="E201">
        <v>1</v>
      </c>
      <c r="F201">
        <v>3797.35</v>
      </c>
      <c r="G201" t="s">
        <v>22</v>
      </c>
      <c r="H201" t="s">
        <v>42</v>
      </c>
      <c r="I201" t="s">
        <v>45</v>
      </c>
    </row>
    <row r="202" spans="1:9" x14ac:dyDescent="0.25">
      <c r="A202" s="2">
        <v>45413</v>
      </c>
      <c r="B202">
        <v>68</v>
      </c>
      <c r="C202">
        <v>11</v>
      </c>
      <c r="D202" s="3">
        <v>345.62</v>
      </c>
      <c r="E202">
        <v>4</v>
      </c>
      <c r="F202">
        <v>3558.13</v>
      </c>
      <c r="G202" t="s">
        <v>10</v>
      </c>
      <c r="H202" t="s">
        <v>35</v>
      </c>
      <c r="I202" t="s">
        <v>45</v>
      </c>
    </row>
    <row r="203" spans="1:9" x14ac:dyDescent="0.25">
      <c r="A203" s="2">
        <v>45413</v>
      </c>
      <c r="B203">
        <v>45</v>
      </c>
      <c r="C203">
        <v>17</v>
      </c>
      <c r="D203" s="3">
        <v>416.96</v>
      </c>
      <c r="E203">
        <v>3</v>
      </c>
      <c r="F203">
        <v>3327.07</v>
      </c>
      <c r="G203" t="s">
        <v>11</v>
      </c>
      <c r="H203" t="s">
        <v>37</v>
      </c>
      <c r="I203" t="s">
        <v>45</v>
      </c>
    </row>
    <row r="204" spans="1:9" x14ac:dyDescent="0.25">
      <c r="A204" s="2">
        <v>45413</v>
      </c>
      <c r="B204">
        <v>17</v>
      </c>
      <c r="C204">
        <v>8</v>
      </c>
      <c r="D204" s="3">
        <v>72.05</v>
      </c>
      <c r="E204">
        <v>3</v>
      </c>
      <c r="F204">
        <v>1672.82</v>
      </c>
      <c r="G204" t="s">
        <v>12</v>
      </c>
      <c r="H204" t="s">
        <v>43</v>
      </c>
      <c r="I204" t="s">
        <v>45</v>
      </c>
    </row>
    <row r="205" spans="1:9" x14ac:dyDescent="0.25">
      <c r="A205" s="2">
        <v>45413</v>
      </c>
      <c r="B205">
        <v>85</v>
      </c>
      <c r="C205">
        <v>13</v>
      </c>
      <c r="D205" s="3">
        <v>475.61</v>
      </c>
      <c r="E205">
        <v>5</v>
      </c>
      <c r="F205">
        <v>939.32</v>
      </c>
      <c r="G205" t="s">
        <v>13</v>
      </c>
      <c r="H205" t="s">
        <v>44</v>
      </c>
      <c r="I205" t="s">
        <v>45</v>
      </c>
    </row>
    <row r="206" spans="1:9" x14ac:dyDescent="0.25">
      <c r="A206" s="2">
        <v>45413</v>
      </c>
      <c r="B206">
        <v>49</v>
      </c>
      <c r="C206">
        <v>7</v>
      </c>
      <c r="D206" s="3">
        <v>469.53</v>
      </c>
      <c r="E206">
        <v>3</v>
      </c>
      <c r="F206">
        <v>3623.32</v>
      </c>
      <c r="G206" t="s">
        <v>14</v>
      </c>
      <c r="H206" t="s">
        <v>39</v>
      </c>
      <c r="I206" t="s">
        <v>45</v>
      </c>
    </row>
    <row r="207" spans="1:9" x14ac:dyDescent="0.25">
      <c r="A207" s="2">
        <v>45413</v>
      </c>
      <c r="B207">
        <v>69</v>
      </c>
      <c r="C207">
        <v>16</v>
      </c>
      <c r="D207" s="3">
        <v>299.22000000000003</v>
      </c>
      <c r="E207">
        <v>6</v>
      </c>
      <c r="F207">
        <v>3716.14</v>
      </c>
      <c r="G207" t="s">
        <v>9</v>
      </c>
      <c r="H207" t="s">
        <v>35</v>
      </c>
      <c r="I207" t="s">
        <v>45</v>
      </c>
    </row>
    <row r="208" spans="1:9" x14ac:dyDescent="0.25">
      <c r="A208" s="2">
        <v>45413</v>
      </c>
      <c r="B208">
        <v>63</v>
      </c>
      <c r="C208">
        <v>9</v>
      </c>
      <c r="D208" s="3">
        <v>258.11</v>
      </c>
      <c r="E208">
        <v>7</v>
      </c>
      <c r="F208">
        <v>4064.36</v>
      </c>
      <c r="G208" t="s">
        <v>16</v>
      </c>
      <c r="H208" t="s">
        <v>42</v>
      </c>
      <c r="I208" t="s">
        <v>45</v>
      </c>
    </row>
    <row r="209" spans="1:9" x14ac:dyDescent="0.25">
      <c r="A209" s="2">
        <v>45413</v>
      </c>
      <c r="B209">
        <v>66</v>
      </c>
      <c r="C209">
        <v>15</v>
      </c>
      <c r="D209" s="3">
        <v>333.1</v>
      </c>
      <c r="E209">
        <v>2</v>
      </c>
      <c r="F209">
        <v>2631.58</v>
      </c>
      <c r="G209" t="s">
        <v>15</v>
      </c>
      <c r="H209" t="s">
        <v>40</v>
      </c>
      <c r="I209" t="s">
        <v>45</v>
      </c>
    </row>
    <row r="210" spans="1:9" x14ac:dyDescent="0.25">
      <c r="A210" s="2">
        <v>45413</v>
      </c>
      <c r="B210">
        <v>35</v>
      </c>
      <c r="C210">
        <v>6</v>
      </c>
      <c r="D210" s="3">
        <v>553.11</v>
      </c>
      <c r="E210">
        <v>4</v>
      </c>
      <c r="F210">
        <v>3867.67</v>
      </c>
      <c r="G210" t="s">
        <v>20</v>
      </c>
      <c r="H210" t="s">
        <v>39</v>
      </c>
      <c r="I210" t="s">
        <v>46</v>
      </c>
    </row>
    <row r="211" spans="1:9" x14ac:dyDescent="0.25">
      <c r="A211" s="2">
        <v>45413</v>
      </c>
      <c r="B211">
        <v>67</v>
      </c>
      <c r="C211">
        <v>15</v>
      </c>
      <c r="D211" s="3">
        <v>499.68</v>
      </c>
      <c r="E211">
        <v>0</v>
      </c>
      <c r="F211">
        <v>1287.1300000000001</v>
      </c>
      <c r="G211" t="s">
        <v>28</v>
      </c>
      <c r="H211" t="s">
        <v>40</v>
      </c>
      <c r="I211" t="s">
        <v>45</v>
      </c>
    </row>
    <row r="212" spans="1:9" x14ac:dyDescent="0.25">
      <c r="A212" s="2">
        <v>45413</v>
      </c>
      <c r="B212">
        <v>75</v>
      </c>
      <c r="C212">
        <v>19</v>
      </c>
      <c r="D212" s="3">
        <v>343.28</v>
      </c>
      <c r="E212">
        <v>9</v>
      </c>
      <c r="F212">
        <v>899.46</v>
      </c>
      <c r="G212" t="s">
        <v>18</v>
      </c>
      <c r="H212" t="s">
        <v>37</v>
      </c>
      <c r="I212" t="s">
        <v>46</v>
      </c>
    </row>
    <row r="213" spans="1:9" x14ac:dyDescent="0.25">
      <c r="A213" s="2">
        <v>45413</v>
      </c>
      <c r="B213">
        <v>31</v>
      </c>
      <c r="C213">
        <v>20</v>
      </c>
      <c r="D213" s="3">
        <v>400.8</v>
      </c>
      <c r="E213">
        <v>8</v>
      </c>
      <c r="F213">
        <v>1294.3599999999999</v>
      </c>
      <c r="G213" t="s">
        <v>17</v>
      </c>
      <c r="H213" t="s">
        <v>43</v>
      </c>
      <c r="I213" t="s">
        <v>45</v>
      </c>
    </row>
    <row r="214" spans="1:9" x14ac:dyDescent="0.25">
      <c r="A214" s="2">
        <v>45413</v>
      </c>
      <c r="B214">
        <v>18</v>
      </c>
      <c r="C214">
        <v>7</v>
      </c>
      <c r="D214" s="3">
        <v>204.63</v>
      </c>
      <c r="E214">
        <v>7</v>
      </c>
      <c r="F214">
        <v>789.77</v>
      </c>
      <c r="G214" t="s">
        <v>19</v>
      </c>
      <c r="H214" t="s">
        <v>36</v>
      </c>
      <c r="I214" t="s">
        <v>45</v>
      </c>
    </row>
    <row r="215" spans="1:9" x14ac:dyDescent="0.25">
      <c r="A215" s="2">
        <v>45414</v>
      </c>
      <c r="B215">
        <v>89</v>
      </c>
      <c r="C215">
        <v>55</v>
      </c>
      <c r="D215" s="3">
        <v>327.27053238388658</v>
      </c>
      <c r="E215">
        <v>29</v>
      </c>
      <c r="F215">
        <v>4257.1860655968467</v>
      </c>
      <c r="G215" t="s">
        <v>10</v>
      </c>
      <c r="H215" t="s">
        <v>40</v>
      </c>
      <c r="I215" t="s">
        <v>45</v>
      </c>
    </row>
    <row r="216" spans="1:9" x14ac:dyDescent="0.25">
      <c r="A216" s="2">
        <v>45415</v>
      </c>
      <c r="B216">
        <v>70</v>
      </c>
      <c r="C216">
        <v>62</v>
      </c>
      <c r="D216" s="3">
        <v>413.77904004203168</v>
      </c>
      <c r="E216">
        <v>30</v>
      </c>
      <c r="F216">
        <v>4929.8098131659845</v>
      </c>
      <c r="G216" t="s">
        <v>18</v>
      </c>
      <c r="H216" t="s">
        <v>43</v>
      </c>
      <c r="I216" t="s">
        <v>45</v>
      </c>
    </row>
    <row r="217" spans="1:9" x14ac:dyDescent="0.25">
      <c r="A217" s="2">
        <v>45418</v>
      </c>
      <c r="B217">
        <v>65</v>
      </c>
      <c r="C217">
        <v>69</v>
      </c>
      <c r="D217" s="3">
        <v>392.15715596155007</v>
      </c>
      <c r="E217">
        <v>4</v>
      </c>
      <c r="F217">
        <v>2865.605820362086</v>
      </c>
      <c r="G217" t="s">
        <v>9</v>
      </c>
      <c r="H217" t="s">
        <v>35</v>
      </c>
      <c r="I217" t="s">
        <v>45</v>
      </c>
    </row>
    <row r="218" spans="1:9" x14ac:dyDescent="0.25">
      <c r="A218" s="2">
        <v>45419</v>
      </c>
      <c r="B218">
        <v>94</v>
      </c>
      <c r="C218">
        <v>72</v>
      </c>
      <c r="D218" s="3">
        <v>550.5790052454945</v>
      </c>
      <c r="E218">
        <v>13</v>
      </c>
      <c r="F218">
        <v>1272.556786317366</v>
      </c>
      <c r="G218" t="s">
        <v>9</v>
      </c>
      <c r="H218" t="s">
        <v>36</v>
      </c>
      <c r="I218" t="s">
        <v>46</v>
      </c>
    </row>
    <row r="219" spans="1:9" x14ac:dyDescent="0.25">
      <c r="A219" s="2">
        <v>45420</v>
      </c>
      <c r="B219">
        <v>67</v>
      </c>
      <c r="C219">
        <v>41</v>
      </c>
      <c r="D219" s="3">
        <v>122.7231901707289</v>
      </c>
      <c r="E219">
        <v>10</v>
      </c>
      <c r="F219">
        <v>1725.3829693371599</v>
      </c>
      <c r="G219" t="s">
        <v>47</v>
      </c>
      <c r="H219" t="s">
        <v>36</v>
      </c>
      <c r="I219" t="s">
        <v>46</v>
      </c>
    </row>
    <row r="220" spans="1:9" x14ac:dyDescent="0.25">
      <c r="A220" s="2">
        <v>45421</v>
      </c>
      <c r="B220">
        <v>96</v>
      </c>
      <c r="C220">
        <v>42</v>
      </c>
      <c r="D220" s="3">
        <v>240.48159479611519</v>
      </c>
      <c r="E220">
        <v>8</v>
      </c>
      <c r="F220">
        <v>582.7580444636003</v>
      </c>
      <c r="G220" t="s">
        <v>34</v>
      </c>
      <c r="H220" t="s">
        <v>44</v>
      </c>
      <c r="I220" t="s">
        <v>45</v>
      </c>
    </row>
    <row r="221" spans="1:9" x14ac:dyDescent="0.25">
      <c r="A221" s="2">
        <v>45422</v>
      </c>
      <c r="B221">
        <v>73</v>
      </c>
      <c r="C221">
        <v>76</v>
      </c>
      <c r="D221" s="3">
        <v>575.20574203827937</v>
      </c>
      <c r="E221">
        <v>33</v>
      </c>
      <c r="F221">
        <v>4614.3446295222457</v>
      </c>
      <c r="G221" t="s">
        <v>10</v>
      </c>
      <c r="H221" t="s">
        <v>42</v>
      </c>
      <c r="I221" t="s">
        <v>46</v>
      </c>
    </row>
    <row r="222" spans="1:9" x14ac:dyDescent="0.25">
      <c r="A222" s="2">
        <v>45425</v>
      </c>
      <c r="B222">
        <v>75</v>
      </c>
      <c r="C222">
        <v>27</v>
      </c>
      <c r="D222" s="3">
        <v>545.13189194545816</v>
      </c>
      <c r="E222">
        <v>11</v>
      </c>
      <c r="F222">
        <v>1029.8798730056351</v>
      </c>
      <c r="G222" t="s">
        <v>18</v>
      </c>
      <c r="H222" t="s">
        <v>36</v>
      </c>
      <c r="I222" t="s">
        <v>45</v>
      </c>
    </row>
    <row r="223" spans="1:9" x14ac:dyDescent="0.25">
      <c r="A223" s="2">
        <v>45426</v>
      </c>
      <c r="B223">
        <v>74</v>
      </c>
      <c r="C223">
        <v>34</v>
      </c>
      <c r="D223" s="3">
        <v>327.82837639285651</v>
      </c>
      <c r="E223">
        <v>34</v>
      </c>
      <c r="F223">
        <v>3094.3241398141408</v>
      </c>
      <c r="G223" t="s">
        <v>10</v>
      </c>
      <c r="H223" t="s">
        <v>40</v>
      </c>
      <c r="I223" t="s">
        <v>45</v>
      </c>
    </row>
    <row r="224" spans="1:9" x14ac:dyDescent="0.25">
      <c r="A224" s="2">
        <v>45427</v>
      </c>
      <c r="B224">
        <v>94</v>
      </c>
      <c r="C224">
        <v>63</v>
      </c>
      <c r="D224" s="3">
        <v>410.06629890076829</v>
      </c>
      <c r="E224">
        <v>34</v>
      </c>
      <c r="F224">
        <v>1733.248493092427</v>
      </c>
      <c r="G224" t="s">
        <v>10</v>
      </c>
      <c r="H224" t="s">
        <v>43</v>
      </c>
      <c r="I224" t="s">
        <v>46</v>
      </c>
    </row>
    <row r="225" spans="1:9" x14ac:dyDescent="0.25">
      <c r="A225" s="2">
        <v>45428</v>
      </c>
      <c r="B225">
        <v>90</v>
      </c>
      <c r="C225">
        <v>67</v>
      </c>
      <c r="D225" s="3">
        <v>238.69059149056631</v>
      </c>
      <c r="E225">
        <v>0</v>
      </c>
      <c r="F225">
        <v>2993.8010113210698</v>
      </c>
      <c r="G225" t="s">
        <v>48</v>
      </c>
      <c r="H225" t="s">
        <v>42</v>
      </c>
      <c r="I225" t="s">
        <v>46</v>
      </c>
    </row>
    <row r="226" spans="1:9" x14ac:dyDescent="0.25">
      <c r="A226" s="2">
        <v>45429</v>
      </c>
      <c r="B226">
        <v>78</v>
      </c>
      <c r="C226">
        <v>76</v>
      </c>
      <c r="D226" s="3">
        <v>194.06057986188071</v>
      </c>
      <c r="E226">
        <v>39</v>
      </c>
      <c r="F226">
        <v>3431.3917475833891</v>
      </c>
      <c r="G226" t="s">
        <v>47</v>
      </c>
      <c r="H226" t="s">
        <v>43</v>
      </c>
      <c r="I226" t="s">
        <v>46</v>
      </c>
    </row>
    <row r="227" spans="1:9" x14ac:dyDescent="0.25">
      <c r="A227" s="2">
        <v>45432</v>
      </c>
      <c r="B227">
        <v>64</v>
      </c>
      <c r="C227">
        <v>55</v>
      </c>
      <c r="D227" s="3">
        <v>331.84920246999098</v>
      </c>
      <c r="E227">
        <v>21</v>
      </c>
      <c r="F227">
        <v>4233.8381166824074</v>
      </c>
      <c r="G227" t="s">
        <v>18</v>
      </c>
      <c r="H227" t="s">
        <v>40</v>
      </c>
      <c r="I227" t="s">
        <v>46</v>
      </c>
    </row>
    <row r="228" spans="1:9" x14ac:dyDescent="0.25">
      <c r="A228" s="2">
        <v>45433</v>
      </c>
      <c r="B228">
        <v>94</v>
      </c>
      <c r="C228">
        <v>33</v>
      </c>
      <c r="D228" s="3">
        <v>276.67611401302639</v>
      </c>
      <c r="E228">
        <v>28</v>
      </c>
      <c r="F228">
        <v>1428.895722922714</v>
      </c>
      <c r="G228" t="s">
        <v>18</v>
      </c>
      <c r="H228" t="s">
        <v>36</v>
      </c>
      <c r="I228" t="s">
        <v>45</v>
      </c>
    </row>
    <row r="229" spans="1:9" x14ac:dyDescent="0.25">
      <c r="A229" s="2">
        <v>45434</v>
      </c>
      <c r="B229">
        <v>50</v>
      </c>
      <c r="C229">
        <v>41</v>
      </c>
      <c r="D229" s="3">
        <v>391.82805592543599</v>
      </c>
      <c r="E229">
        <v>7</v>
      </c>
      <c r="F229">
        <v>549.48122896316215</v>
      </c>
      <c r="G229" t="s">
        <v>10</v>
      </c>
      <c r="H229" t="s">
        <v>36</v>
      </c>
      <c r="I229" t="s">
        <v>45</v>
      </c>
    </row>
    <row r="230" spans="1:9" x14ac:dyDescent="0.25">
      <c r="A230" s="2">
        <v>45435</v>
      </c>
      <c r="B230">
        <v>74</v>
      </c>
      <c r="C230">
        <v>56</v>
      </c>
      <c r="D230" s="3">
        <v>138.86731848249241</v>
      </c>
      <c r="E230">
        <v>10</v>
      </c>
      <c r="F230">
        <v>1115.985335309633</v>
      </c>
      <c r="G230" t="s">
        <v>47</v>
      </c>
      <c r="H230" t="s">
        <v>44</v>
      </c>
      <c r="I230" t="s">
        <v>45</v>
      </c>
    </row>
    <row r="231" spans="1:9" x14ac:dyDescent="0.25">
      <c r="A231" s="2">
        <v>45436</v>
      </c>
      <c r="B231">
        <v>56</v>
      </c>
      <c r="C231">
        <v>32</v>
      </c>
      <c r="D231" s="3">
        <v>587.19740383308317</v>
      </c>
      <c r="E231">
        <v>36</v>
      </c>
      <c r="F231">
        <v>4550.0838883164724</v>
      </c>
      <c r="G231" t="s">
        <v>9</v>
      </c>
      <c r="H231" t="s">
        <v>36</v>
      </c>
      <c r="I231" t="s">
        <v>45</v>
      </c>
    </row>
    <row r="232" spans="1:9" x14ac:dyDescent="0.25">
      <c r="A232" s="2">
        <v>45439</v>
      </c>
      <c r="B232">
        <v>58</v>
      </c>
      <c r="C232">
        <v>75</v>
      </c>
      <c r="D232" s="3">
        <v>593.10537223980145</v>
      </c>
      <c r="E232">
        <v>13</v>
      </c>
      <c r="F232">
        <v>4432.5053490313176</v>
      </c>
      <c r="G232" t="s">
        <v>18</v>
      </c>
      <c r="H232" t="s">
        <v>42</v>
      </c>
      <c r="I232" t="s">
        <v>45</v>
      </c>
    </row>
    <row r="233" spans="1:9" x14ac:dyDescent="0.25">
      <c r="A233" s="2">
        <v>45440</v>
      </c>
      <c r="B233">
        <v>73</v>
      </c>
      <c r="C233">
        <v>36</v>
      </c>
      <c r="D233" s="3">
        <v>449.08085700987249</v>
      </c>
      <c r="E233">
        <v>29</v>
      </c>
      <c r="F233">
        <v>3188.3589597663872</v>
      </c>
      <c r="G233" t="s">
        <v>9</v>
      </c>
      <c r="H233" t="s">
        <v>40</v>
      </c>
      <c r="I233" t="s">
        <v>46</v>
      </c>
    </row>
    <row r="234" spans="1:9" x14ac:dyDescent="0.25">
      <c r="A234" s="2">
        <v>45441</v>
      </c>
      <c r="B234">
        <v>50</v>
      </c>
      <c r="C234">
        <v>11</v>
      </c>
      <c r="D234" s="3">
        <v>368.04818317206019</v>
      </c>
      <c r="E234">
        <v>34</v>
      </c>
      <c r="F234">
        <v>3202.3258719514401</v>
      </c>
      <c r="G234" t="s">
        <v>47</v>
      </c>
      <c r="H234" t="s">
        <v>38</v>
      </c>
      <c r="I234" t="s">
        <v>45</v>
      </c>
    </row>
    <row r="235" spans="1:9" x14ac:dyDescent="0.25">
      <c r="A235" s="2">
        <v>45442</v>
      </c>
      <c r="B235">
        <v>93</v>
      </c>
      <c r="C235">
        <v>26</v>
      </c>
      <c r="D235" s="3">
        <v>254.76380814316391</v>
      </c>
      <c r="E235">
        <v>20</v>
      </c>
      <c r="F235">
        <v>3492.6650354581502</v>
      </c>
      <c r="G235" t="s">
        <v>9</v>
      </c>
      <c r="H235" t="s">
        <v>40</v>
      </c>
      <c r="I235" t="s">
        <v>45</v>
      </c>
    </row>
    <row r="236" spans="1:9" x14ac:dyDescent="0.25">
      <c r="A236" s="2">
        <v>45443</v>
      </c>
      <c r="B236">
        <v>57</v>
      </c>
      <c r="C236">
        <v>42</v>
      </c>
      <c r="D236" s="3">
        <v>506.89750985347428</v>
      </c>
      <c r="E236">
        <v>36</v>
      </c>
      <c r="F236">
        <v>1289.170753805523</v>
      </c>
      <c r="G236" t="s">
        <v>49</v>
      </c>
      <c r="H236" t="s">
        <v>42</v>
      </c>
      <c r="I236" t="s">
        <v>45</v>
      </c>
    </row>
    <row r="237" spans="1:9" x14ac:dyDescent="0.25">
      <c r="A237" s="2">
        <v>45444</v>
      </c>
      <c r="B237">
        <v>85</v>
      </c>
      <c r="C237">
        <v>17</v>
      </c>
      <c r="D237" s="3">
        <v>324.56</v>
      </c>
      <c r="E237">
        <v>3</v>
      </c>
      <c r="F237">
        <v>2420.5300000000002</v>
      </c>
      <c r="G237" t="s">
        <v>15</v>
      </c>
      <c r="H237" t="s">
        <v>43</v>
      </c>
      <c r="I237" t="s">
        <v>45</v>
      </c>
    </row>
    <row r="238" spans="1:9" x14ac:dyDescent="0.25">
      <c r="A238" s="2">
        <v>45444</v>
      </c>
      <c r="B238">
        <v>49</v>
      </c>
      <c r="C238">
        <v>7</v>
      </c>
      <c r="D238" s="3">
        <v>512.88</v>
      </c>
      <c r="E238">
        <v>2</v>
      </c>
      <c r="F238">
        <v>3545.66</v>
      </c>
      <c r="G238" t="s">
        <v>14</v>
      </c>
      <c r="H238" t="s">
        <v>44</v>
      </c>
      <c r="I238" t="s">
        <v>45</v>
      </c>
    </row>
    <row r="239" spans="1:9" x14ac:dyDescent="0.25">
      <c r="A239" s="2">
        <v>45444</v>
      </c>
      <c r="B239">
        <v>59</v>
      </c>
      <c r="C239">
        <v>16</v>
      </c>
      <c r="D239" s="3">
        <v>359.47</v>
      </c>
      <c r="E239">
        <v>7</v>
      </c>
      <c r="F239">
        <v>3958.94</v>
      </c>
      <c r="G239" t="s">
        <v>9</v>
      </c>
      <c r="H239" t="s">
        <v>40</v>
      </c>
      <c r="I239" t="s">
        <v>45</v>
      </c>
    </row>
    <row r="240" spans="1:9" x14ac:dyDescent="0.25">
      <c r="A240" s="2">
        <v>45444</v>
      </c>
      <c r="B240">
        <v>18</v>
      </c>
      <c r="C240">
        <v>7</v>
      </c>
      <c r="D240" s="3">
        <v>85.32</v>
      </c>
      <c r="E240">
        <v>3</v>
      </c>
      <c r="F240">
        <v>1431.69</v>
      </c>
      <c r="G240" t="s">
        <v>12</v>
      </c>
      <c r="H240" t="s">
        <v>42</v>
      </c>
      <c r="I240" t="s">
        <v>46</v>
      </c>
    </row>
    <row r="241" spans="1:9" x14ac:dyDescent="0.25">
      <c r="A241" s="2">
        <v>45444</v>
      </c>
      <c r="B241">
        <v>61</v>
      </c>
      <c r="C241">
        <v>7</v>
      </c>
      <c r="D241" s="3">
        <v>219.53</v>
      </c>
      <c r="E241">
        <v>7</v>
      </c>
      <c r="F241">
        <v>3860.12</v>
      </c>
      <c r="G241" t="s">
        <v>16</v>
      </c>
      <c r="H241" t="s">
        <v>35</v>
      </c>
      <c r="I241" t="s">
        <v>45</v>
      </c>
    </row>
    <row r="242" spans="1:9" x14ac:dyDescent="0.25">
      <c r="A242" s="2">
        <v>45444</v>
      </c>
      <c r="B242">
        <v>93</v>
      </c>
      <c r="C242">
        <v>14</v>
      </c>
      <c r="D242" s="3">
        <v>466.81</v>
      </c>
      <c r="E242">
        <v>5</v>
      </c>
      <c r="F242">
        <v>988.98</v>
      </c>
      <c r="G242" t="s">
        <v>13</v>
      </c>
      <c r="H242" t="s">
        <v>42</v>
      </c>
      <c r="I242" t="s">
        <v>45</v>
      </c>
    </row>
    <row r="243" spans="1:9" x14ac:dyDescent="0.25">
      <c r="A243" s="2">
        <v>45444</v>
      </c>
      <c r="B243">
        <v>30</v>
      </c>
      <c r="C243">
        <v>16</v>
      </c>
      <c r="D243" s="3">
        <v>353.65</v>
      </c>
      <c r="E243">
        <v>9</v>
      </c>
      <c r="F243">
        <v>1213.5899999999999</v>
      </c>
      <c r="G243" t="s">
        <v>17</v>
      </c>
      <c r="H243" t="s">
        <v>41</v>
      </c>
      <c r="I243" t="s">
        <v>46</v>
      </c>
    </row>
    <row r="244" spans="1:9" x14ac:dyDescent="0.25">
      <c r="A244" s="2">
        <v>45444</v>
      </c>
      <c r="B244">
        <v>71</v>
      </c>
      <c r="C244">
        <v>11</v>
      </c>
      <c r="D244" s="3">
        <v>379.33</v>
      </c>
      <c r="E244">
        <v>4</v>
      </c>
      <c r="F244">
        <v>4003.52</v>
      </c>
      <c r="G244" t="s">
        <v>10</v>
      </c>
      <c r="H244" t="s">
        <v>35</v>
      </c>
      <c r="I244" t="s">
        <v>46</v>
      </c>
    </row>
    <row r="245" spans="1:9" x14ac:dyDescent="0.25">
      <c r="A245" s="2">
        <v>45444</v>
      </c>
      <c r="B245">
        <v>19</v>
      </c>
      <c r="C245">
        <v>7</v>
      </c>
      <c r="D245" s="3">
        <v>199.46</v>
      </c>
      <c r="E245">
        <v>7</v>
      </c>
      <c r="F245">
        <v>809.56</v>
      </c>
      <c r="G245" t="s">
        <v>19</v>
      </c>
      <c r="H245" t="s">
        <v>38</v>
      </c>
      <c r="I245" t="s">
        <v>45</v>
      </c>
    </row>
    <row r="246" spans="1:9" x14ac:dyDescent="0.25">
      <c r="A246" s="2">
        <v>45444</v>
      </c>
      <c r="B246">
        <v>35</v>
      </c>
      <c r="C246">
        <v>16</v>
      </c>
      <c r="D246" s="3">
        <v>351.71</v>
      </c>
      <c r="E246">
        <v>9</v>
      </c>
      <c r="F246">
        <v>3984.69</v>
      </c>
      <c r="G246" t="s">
        <v>34</v>
      </c>
      <c r="H246" t="s">
        <v>41</v>
      </c>
      <c r="I246" t="s">
        <v>45</v>
      </c>
    </row>
    <row r="247" spans="1:9" x14ac:dyDescent="0.25">
      <c r="A247" s="2">
        <v>45444</v>
      </c>
      <c r="B247">
        <v>35</v>
      </c>
      <c r="C247">
        <v>12</v>
      </c>
      <c r="D247" s="3">
        <v>515.24</v>
      </c>
      <c r="E247">
        <v>5</v>
      </c>
      <c r="F247">
        <v>224.24</v>
      </c>
      <c r="G247" t="s">
        <v>33</v>
      </c>
      <c r="H247" t="s">
        <v>42</v>
      </c>
      <c r="I247" t="s">
        <v>46</v>
      </c>
    </row>
    <row r="248" spans="1:9" x14ac:dyDescent="0.25">
      <c r="A248" s="2">
        <v>45444</v>
      </c>
      <c r="B248">
        <v>114</v>
      </c>
      <c r="C248">
        <v>13</v>
      </c>
      <c r="D248" s="3">
        <v>364.35</v>
      </c>
      <c r="E248">
        <v>0</v>
      </c>
      <c r="F248">
        <v>2988.28</v>
      </c>
      <c r="G248" t="s">
        <v>32</v>
      </c>
      <c r="H248" t="s">
        <v>39</v>
      </c>
      <c r="I248" t="s">
        <v>45</v>
      </c>
    </row>
    <row r="249" spans="1:9" x14ac:dyDescent="0.25">
      <c r="A249" s="2">
        <v>45444</v>
      </c>
      <c r="B249">
        <v>58</v>
      </c>
      <c r="C249">
        <v>7</v>
      </c>
      <c r="D249" s="3">
        <v>173.24</v>
      </c>
      <c r="E249">
        <v>7</v>
      </c>
      <c r="F249">
        <v>525.73</v>
      </c>
      <c r="G249" t="s">
        <v>31</v>
      </c>
      <c r="H249" t="s">
        <v>37</v>
      </c>
      <c r="I249" t="s">
        <v>46</v>
      </c>
    </row>
    <row r="250" spans="1:9" x14ac:dyDescent="0.25">
      <c r="A250" s="2">
        <v>45444</v>
      </c>
      <c r="B250">
        <v>92</v>
      </c>
      <c r="C250">
        <v>5</v>
      </c>
      <c r="D250" s="3">
        <v>569.75</v>
      </c>
      <c r="E250">
        <v>2</v>
      </c>
      <c r="F250">
        <v>3734.43</v>
      </c>
      <c r="G250" t="s">
        <v>30</v>
      </c>
      <c r="H250" t="s">
        <v>35</v>
      </c>
      <c r="I250" t="s">
        <v>45</v>
      </c>
    </row>
    <row r="251" spans="1:9" x14ac:dyDescent="0.25">
      <c r="A251" s="2">
        <v>45444</v>
      </c>
      <c r="B251">
        <v>21</v>
      </c>
      <c r="C251">
        <v>16</v>
      </c>
      <c r="D251" s="3">
        <v>315.91000000000003</v>
      </c>
      <c r="E251">
        <v>1</v>
      </c>
      <c r="F251">
        <v>1455.83</v>
      </c>
      <c r="G251" t="s">
        <v>29</v>
      </c>
      <c r="H251" t="s">
        <v>44</v>
      </c>
      <c r="I251" t="s">
        <v>45</v>
      </c>
    </row>
    <row r="252" spans="1:9" x14ac:dyDescent="0.25">
      <c r="A252" s="2">
        <v>45444</v>
      </c>
      <c r="B252">
        <v>69</v>
      </c>
      <c r="C252">
        <v>16</v>
      </c>
      <c r="D252" s="3">
        <v>495.32</v>
      </c>
      <c r="E252">
        <v>0</v>
      </c>
      <c r="F252">
        <v>1262.99</v>
      </c>
      <c r="G252" t="s">
        <v>28</v>
      </c>
      <c r="H252" t="s">
        <v>43</v>
      </c>
      <c r="I252" t="s">
        <v>46</v>
      </c>
    </row>
    <row r="253" spans="1:9" x14ac:dyDescent="0.25">
      <c r="A253" s="2">
        <v>45444</v>
      </c>
      <c r="B253">
        <v>88</v>
      </c>
      <c r="C253">
        <v>18</v>
      </c>
      <c r="D253" s="3">
        <v>181.21</v>
      </c>
      <c r="E253">
        <v>4</v>
      </c>
      <c r="F253">
        <v>377.13</v>
      </c>
      <c r="G253" t="s">
        <v>27</v>
      </c>
      <c r="H253" t="s">
        <v>38</v>
      </c>
      <c r="I253" t="s">
        <v>46</v>
      </c>
    </row>
    <row r="254" spans="1:9" x14ac:dyDescent="0.25">
      <c r="A254" s="2">
        <v>45444</v>
      </c>
      <c r="B254">
        <v>28</v>
      </c>
      <c r="C254">
        <v>16</v>
      </c>
      <c r="D254" s="3">
        <v>506.95</v>
      </c>
      <c r="E254">
        <v>6</v>
      </c>
      <c r="F254">
        <v>3993.03</v>
      </c>
      <c r="G254" t="s">
        <v>26</v>
      </c>
      <c r="H254" t="s">
        <v>35</v>
      </c>
      <c r="I254" t="s">
        <v>45</v>
      </c>
    </row>
    <row r="255" spans="1:9" x14ac:dyDescent="0.25">
      <c r="A255" s="2">
        <v>45444</v>
      </c>
      <c r="B255">
        <v>93</v>
      </c>
      <c r="C255">
        <v>5</v>
      </c>
      <c r="D255" s="3">
        <v>85.65</v>
      </c>
      <c r="E255">
        <v>5</v>
      </c>
      <c r="F255">
        <v>3913.17</v>
      </c>
      <c r="G255" t="s">
        <v>25</v>
      </c>
      <c r="H255" t="s">
        <v>39</v>
      </c>
      <c r="I255" t="s">
        <v>46</v>
      </c>
    </row>
    <row r="256" spans="1:9" x14ac:dyDescent="0.25">
      <c r="A256" s="2">
        <v>45444</v>
      </c>
      <c r="B256">
        <v>54</v>
      </c>
      <c r="C256">
        <v>16</v>
      </c>
      <c r="D256" s="3">
        <v>334.41</v>
      </c>
      <c r="E256">
        <v>9</v>
      </c>
      <c r="F256">
        <v>1056.98</v>
      </c>
      <c r="G256" t="s">
        <v>18</v>
      </c>
      <c r="H256" t="s">
        <v>44</v>
      </c>
      <c r="I256" t="s">
        <v>46</v>
      </c>
    </row>
    <row r="257" spans="1:9" x14ac:dyDescent="0.25">
      <c r="A257" s="2">
        <v>45444</v>
      </c>
      <c r="B257">
        <v>48</v>
      </c>
      <c r="C257">
        <v>14</v>
      </c>
      <c r="D257" s="3">
        <v>383.94</v>
      </c>
      <c r="E257">
        <v>3</v>
      </c>
      <c r="F257">
        <v>3173.36</v>
      </c>
      <c r="G257" t="s">
        <v>11</v>
      </c>
      <c r="H257" t="s">
        <v>40</v>
      </c>
      <c r="I257" t="s">
        <v>45</v>
      </c>
    </row>
    <row r="258" spans="1:9" x14ac:dyDescent="0.25">
      <c r="A258" s="2">
        <v>45444</v>
      </c>
      <c r="B258">
        <v>40</v>
      </c>
      <c r="C258">
        <v>6</v>
      </c>
      <c r="D258" s="3">
        <v>509.67</v>
      </c>
      <c r="E258">
        <v>4</v>
      </c>
      <c r="F258">
        <v>3330.44</v>
      </c>
      <c r="G258" t="s">
        <v>20</v>
      </c>
      <c r="H258" t="s">
        <v>42</v>
      </c>
      <c r="I258" t="s">
        <v>46</v>
      </c>
    </row>
    <row r="259" spans="1:9" x14ac:dyDescent="0.25">
      <c r="A259" s="2">
        <v>45444</v>
      </c>
      <c r="B259">
        <v>73</v>
      </c>
      <c r="C259">
        <v>21</v>
      </c>
      <c r="D259" s="3">
        <v>601.02</v>
      </c>
      <c r="E259">
        <v>2</v>
      </c>
      <c r="F259">
        <v>364.56</v>
      </c>
      <c r="G259" t="s">
        <v>21</v>
      </c>
      <c r="H259" t="s">
        <v>35</v>
      </c>
      <c r="I259" t="s">
        <v>46</v>
      </c>
    </row>
    <row r="260" spans="1:9" x14ac:dyDescent="0.25">
      <c r="A260" s="2">
        <v>45444</v>
      </c>
      <c r="B260">
        <v>36</v>
      </c>
      <c r="C260">
        <v>9</v>
      </c>
      <c r="D260" s="3">
        <v>196.74</v>
      </c>
      <c r="E260">
        <v>1</v>
      </c>
      <c r="F260">
        <v>3760.57</v>
      </c>
      <c r="G260" t="s">
        <v>22</v>
      </c>
      <c r="H260" t="s">
        <v>42</v>
      </c>
      <c r="I260" t="s">
        <v>46</v>
      </c>
    </row>
    <row r="261" spans="1:9" x14ac:dyDescent="0.25">
      <c r="A261" s="2">
        <v>45444</v>
      </c>
      <c r="B261">
        <v>58</v>
      </c>
      <c r="C261">
        <v>8</v>
      </c>
      <c r="D261" s="3">
        <v>196.58</v>
      </c>
      <c r="E261">
        <v>3</v>
      </c>
      <c r="F261">
        <v>692.47</v>
      </c>
      <c r="G261" t="s">
        <v>23</v>
      </c>
      <c r="H261" t="s">
        <v>41</v>
      </c>
      <c r="I261" t="s">
        <v>46</v>
      </c>
    </row>
    <row r="262" spans="1:9" x14ac:dyDescent="0.25">
      <c r="A262" s="2">
        <v>45444</v>
      </c>
      <c r="B262">
        <v>100</v>
      </c>
      <c r="C262">
        <v>5</v>
      </c>
      <c r="D262" s="3">
        <v>153.87</v>
      </c>
      <c r="E262">
        <v>2</v>
      </c>
      <c r="F262">
        <v>1190.24</v>
      </c>
      <c r="G262" t="s">
        <v>24</v>
      </c>
      <c r="H262" t="s">
        <v>35</v>
      </c>
      <c r="I262" t="s">
        <v>45</v>
      </c>
    </row>
    <row r="263" spans="1:9" x14ac:dyDescent="0.25">
      <c r="A263" s="2">
        <v>45446</v>
      </c>
      <c r="B263">
        <v>73</v>
      </c>
      <c r="C263">
        <v>18</v>
      </c>
      <c r="D263" s="3">
        <v>442.36558627693961</v>
      </c>
      <c r="E263">
        <v>4</v>
      </c>
      <c r="F263">
        <v>4614.853756662319</v>
      </c>
      <c r="G263" t="s">
        <v>48</v>
      </c>
      <c r="H263" t="s">
        <v>42</v>
      </c>
      <c r="I263" t="s">
        <v>46</v>
      </c>
    </row>
    <row r="264" spans="1:9" x14ac:dyDescent="0.25">
      <c r="A264" s="2">
        <v>45447</v>
      </c>
      <c r="B264">
        <v>60</v>
      </c>
      <c r="C264">
        <v>52</v>
      </c>
      <c r="D264" s="3">
        <v>181.30846967244571</v>
      </c>
      <c r="E264">
        <v>18</v>
      </c>
      <c r="F264">
        <v>2384.467362014329</v>
      </c>
      <c r="G264" t="s">
        <v>12</v>
      </c>
      <c r="H264" t="s">
        <v>44</v>
      </c>
      <c r="I264" t="s">
        <v>46</v>
      </c>
    </row>
    <row r="265" spans="1:9" x14ac:dyDescent="0.25">
      <c r="A265" s="2">
        <v>45448</v>
      </c>
      <c r="B265">
        <v>66</v>
      </c>
      <c r="C265">
        <v>57</v>
      </c>
      <c r="D265" s="3">
        <v>555.46359224692128</v>
      </c>
      <c r="E265">
        <v>13</v>
      </c>
      <c r="F265">
        <v>2224.123377122738</v>
      </c>
      <c r="G265" t="s">
        <v>18</v>
      </c>
      <c r="H265" t="s">
        <v>44</v>
      </c>
      <c r="I265" t="s">
        <v>46</v>
      </c>
    </row>
    <row r="266" spans="1:9" x14ac:dyDescent="0.25">
      <c r="A266" s="2">
        <v>45449</v>
      </c>
      <c r="B266">
        <v>57</v>
      </c>
      <c r="C266">
        <v>48</v>
      </c>
      <c r="D266" s="3">
        <v>511.26862146158447</v>
      </c>
      <c r="E266">
        <v>25</v>
      </c>
      <c r="F266">
        <v>2835.1296737727689</v>
      </c>
      <c r="G266" t="s">
        <v>34</v>
      </c>
      <c r="H266" t="s">
        <v>36</v>
      </c>
      <c r="I266" t="s">
        <v>46</v>
      </c>
    </row>
    <row r="267" spans="1:9" x14ac:dyDescent="0.25">
      <c r="A267" s="2">
        <v>45450</v>
      </c>
      <c r="B267">
        <v>84</v>
      </c>
      <c r="C267">
        <v>51</v>
      </c>
      <c r="D267" s="3">
        <v>574.89995664596199</v>
      </c>
      <c r="E267">
        <v>3</v>
      </c>
      <c r="F267">
        <v>711.3468504877477</v>
      </c>
      <c r="G267" t="s">
        <v>48</v>
      </c>
      <c r="H267" t="s">
        <v>37</v>
      </c>
      <c r="I267" t="s">
        <v>45</v>
      </c>
    </row>
    <row r="268" spans="1:9" x14ac:dyDescent="0.25">
      <c r="A268" s="2">
        <v>45453</v>
      </c>
      <c r="B268">
        <v>84</v>
      </c>
      <c r="C268">
        <v>35</v>
      </c>
      <c r="D268" s="3">
        <v>462.85975419418003</v>
      </c>
      <c r="E268">
        <v>24</v>
      </c>
      <c r="F268">
        <v>1248.2751594023571</v>
      </c>
      <c r="G268" t="s">
        <v>12</v>
      </c>
      <c r="H268" t="s">
        <v>40</v>
      </c>
      <c r="I268" t="s">
        <v>45</v>
      </c>
    </row>
    <row r="269" spans="1:9" x14ac:dyDescent="0.25">
      <c r="A269" s="2">
        <v>45454</v>
      </c>
      <c r="B269">
        <v>82</v>
      </c>
      <c r="C269">
        <v>59</v>
      </c>
      <c r="D269" s="3">
        <v>406.70759796789491</v>
      </c>
      <c r="E269">
        <v>24</v>
      </c>
      <c r="F269">
        <v>3821.1512739186669</v>
      </c>
      <c r="G269" t="s">
        <v>9</v>
      </c>
      <c r="H269" t="s">
        <v>40</v>
      </c>
      <c r="I269" t="s">
        <v>46</v>
      </c>
    </row>
    <row r="270" spans="1:9" x14ac:dyDescent="0.25">
      <c r="A270" s="2">
        <v>45455</v>
      </c>
      <c r="B270">
        <v>54</v>
      </c>
      <c r="C270">
        <v>34</v>
      </c>
      <c r="D270" s="3">
        <v>309.12151814530938</v>
      </c>
      <c r="E270">
        <v>17</v>
      </c>
      <c r="F270">
        <v>872.59400566306908</v>
      </c>
      <c r="G270" t="s">
        <v>18</v>
      </c>
      <c r="H270" t="s">
        <v>37</v>
      </c>
      <c r="I270" t="s">
        <v>46</v>
      </c>
    </row>
    <row r="271" spans="1:9" x14ac:dyDescent="0.25">
      <c r="A271" s="2">
        <v>45456</v>
      </c>
      <c r="B271">
        <v>91</v>
      </c>
      <c r="C271">
        <v>33</v>
      </c>
      <c r="D271" s="3">
        <v>566.3642416770067</v>
      </c>
      <c r="E271">
        <v>39</v>
      </c>
      <c r="F271">
        <v>3214.1844925987471</v>
      </c>
      <c r="G271" t="s">
        <v>9</v>
      </c>
      <c r="H271" t="s">
        <v>44</v>
      </c>
      <c r="I271" t="s">
        <v>45</v>
      </c>
    </row>
    <row r="272" spans="1:9" x14ac:dyDescent="0.25">
      <c r="A272" s="2">
        <v>45457</v>
      </c>
      <c r="B272">
        <v>88</v>
      </c>
      <c r="C272">
        <v>22</v>
      </c>
      <c r="D272" s="3">
        <v>533.03194475020416</v>
      </c>
      <c r="E272">
        <v>7</v>
      </c>
      <c r="F272">
        <v>1604.070993565944</v>
      </c>
      <c r="G272" t="s">
        <v>49</v>
      </c>
      <c r="H272" t="s">
        <v>36</v>
      </c>
      <c r="I272" t="s">
        <v>45</v>
      </c>
    </row>
    <row r="273" spans="1:9" x14ac:dyDescent="0.25">
      <c r="A273" s="2">
        <v>45460</v>
      </c>
      <c r="B273">
        <v>90</v>
      </c>
      <c r="C273">
        <v>69</v>
      </c>
      <c r="D273" s="3">
        <v>122.6093350530947</v>
      </c>
      <c r="E273">
        <v>38</v>
      </c>
      <c r="F273">
        <v>2251.8302631888951</v>
      </c>
      <c r="G273" t="s">
        <v>47</v>
      </c>
      <c r="H273" t="s">
        <v>37</v>
      </c>
      <c r="I273" t="s">
        <v>46</v>
      </c>
    </row>
    <row r="274" spans="1:9" x14ac:dyDescent="0.25">
      <c r="A274" s="2">
        <v>45461</v>
      </c>
      <c r="B274">
        <v>77</v>
      </c>
      <c r="C274">
        <v>16</v>
      </c>
      <c r="D274" s="3">
        <v>113.18348724862599</v>
      </c>
      <c r="E274">
        <v>39</v>
      </c>
      <c r="F274">
        <v>1799.121815468149</v>
      </c>
      <c r="G274" t="s">
        <v>18</v>
      </c>
      <c r="H274" t="s">
        <v>36</v>
      </c>
      <c r="I274" t="s">
        <v>46</v>
      </c>
    </row>
    <row r="275" spans="1:9" x14ac:dyDescent="0.25">
      <c r="A275" s="2">
        <v>45462</v>
      </c>
      <c r="B275">
        <v>56</v>
      </c>
      <c r="C275">
        <v>66</v>
      </c>
      <c r="D275" s="3">
        <v>288.23168343902478</v>
      </c>
      <c r="E275">
        <v>13</v>
      </c>
      <c r="F275">
        <v>2100.5272240922709</v>
      </c>
      <c r="G275" t="s">
        <v>12</v>
      </c>
      <c r="H275" t="s">
        <v>36</v>
      </c>
      <c r="I275" t="s">
        <v>46</v>
      </c>
    </row>
    <row r="276" spans="1:9" x14ac:dyDescent="0.25">
      <c r="A276" s="2">
        <v>45463</v>
      </c>
      <c r="B276">
        <v>58</v>
      </c>
      <c r="C276">
        <v>45</v>
      </c>
      <c r="D276" s="3">
        <v>505.27666539091638</v>
      </c>
      <c r="E276">
        <v>31</v>
      </c>
      <c r="F276">
        <v>3735.7065733291051</v>
      </c>
      <c r="G276" t="s">
        <v>12</v>
      </c>
      <c r="H276" t="s">
        <v>36</v>
      </c>
      <c r="I276" t="s">
        <v>46</v>
      </c>
    </row>
    <row r="277" spans="1:9" x14ac:dyDescent="0.25">
      <c r="A277" s="2">
        <v>45464</v>
      </c>
      <c r="B277">
        <v>57</v>
      </c>
      <c r="C277">
        <v>54</v>
      </c>
      <c r="D277" s="3">
        <v>593.63806465747223</v>
      </c>
      <c r="E277">
        <v>37</v>
      </c>
      <c r="F277">
        <v>1837.0477203042881</v>
      </c>
      <c r="G277" t="s">
        <v>49</v>
      </c>
      <c r="H277" t="s">
        <v>35</v>
      </c>
      <c r="I277" t="s">
        <v>45</v>
      </c>
    </row>
    <row r="278" spans="1:9" x14ac:dyDescent="0.25">
      <c r="A278" s="2">
        <v>45467</v>
      </c>
      <c r="B278">
        <v>61</v>
      </c>
      <c r="C278">
        <v>29</v>
      </c>
      <c r="D278" s="3">
        <v>175.2084455517641</v>
      </c>
      <c r="E278">
        <v>32</v>
      </c>
      <c r="F278">
        <v>3048.820881336037</v>
      </c>
      <c r="G278" t="s">
        <v>49</v>
      </c>
      <c r="H278" t="s">
        <v>42</v>
      </c>
      <c r="I278" t="s">
        <v>45</v>
      </c>
    </row>
    <row r="279" spans="1:9" x14ac:dyDescent="0.25">
      <c r="A279" s="2">
        <v>45468</v>
      </c>
      <c r="B279">
        <v>83</v>
      </c>
      <c r="C279">
        <v>74</v>
      </c>
      <c r="D279" s="3">
        <v>397.06535767606749</v>
      </c>
      <c r="E279">
        <v>22</v>
      </c>
      <c r="F279">
        <v>2642.226809895948</v>
      </c>
      <c r="G279" t="s">
        <v>10</v>
      </c>
      <c r="H279" t="s">
        <v>36</v>
      </c>
      <c r="I279" t="s">
        <v>45</v>
      </c>
    </row>
    <row r="280" spans="1:9" x14ac:dyDescent="0.25">
      <c r="A280" s="2">
        <v>45469</v>
      </c>
      <c r="B280">
        <v>82</v>
      </c>
      <c r="C280">
        <v>17</v>
      </c>
      <c r="D280" s="3">
        <v>290.44542831551081</v>
      </c>
      <c r="E280">
        <v>14</v>
      </c>
      <c r="F280">
        <v>3486.520244131917</v>
      </c>
      <c r="G280" t="s">
        <v>18</v>
      </c>
      <c r="H280" t="s">
        <v>35</v>
      </c>
      <c r="I280" t="s">
        <v>46</v>
      </c>
    </row>
    <row r="281" spans="1:9" x14ac:dyDescent="0.25">
      <c r="A281" s="2">
        <v>45470</v>
      </c>
      <c r="B281">
        <v>97</v>
      </c>
      <c r="C281">
        <v>25</v>
      </c>
      <c r="D281" s="3">
        <v>584.95719890730152</v>
      </c>
      <c r="E281">
        <v>32</v>
      </c>
      <c r="F281">
        <v>4715.7338269614111</v>
      </c>
      <c r="G281" t="s">
        <v>9</v>
      </c>
      <c r="H281" t="s">
        <v>44</v>
      </c>
      <c r="I281" t="s">
        <v>46</v>
      </c>
    </row>
    <row r="282" spans="1:9" x14ac:dyDescent="0.25">
      <c r="A282" s="2">
        <v>45471</v>
      </c>
      <c r="B282">
        <v>72</v>
      </c>
      <c r="C282">
        <v>23</v>
      </c>
      <c r="D282" s="3">
        <v>521.05946156785433</v>
      </c>
      <c r="E282">
        <v>24</v>
      </c>
      <c r="F282">
        <v>3796.574437446126</v>
      </c>
      <c r="G282" t="s">
        <v>34</v>
      </c>
      <c r="H282" t="s">
        <v>37</v>
      </c>
      <c r="I282" t="s">
        <v>45</v>
      </c>
    </row>
    <row r="283" spans="1:9" x14ac:dyDescent="0.25">
      <c r="A283" s="2">
        <v>45474</v>
      </c>
      <c r="B283">
        <v>34</v>
      </c>
      <c r="C283">
        <v>7</v>
      </c>
      <c r="D283" s="3">
        <v>199.39</v>
      </c>
      <c r="E283">
        <v>1</v>
      </c>
      <c r="F283">
        <v>3767.74</v>
      </c>
      <c r="G283" t="s">
        <v>22</v>
      </c>
      <c r="H283" t="s">
        <v>44</v>
      </c>
      <c r="I283" t="s">
        <v>45</v>
      </c>
    </row>
    <row r="284" spans="1:9" x14ac:dyDescent="0.25">
      <c r="A284" s="2">
        <v>45474</v>
      </c>
      <c r="B284">
        <v>72</v>
      </c>
      <c r="C284">
        <v>21</v>
      </c>
      <c r="D284" s="3">
        <v>604.57000000000005</v>
      </c>
      <c r="E284">
        <v>2</v>
      </c>
      <c r="F284">
        <v>327.82</v>
      </c>
      <c r="G284" t="s">
        <v>21</v>
      </c>
      <c r="H284" t="s">
        <v>43</v>
      </c>
      <c r="I284" t="s">
        <v>46</v>
      </c>
    </row>
    <row r="285" spans="1:9" x14ac:dyDescent="0.25">
      <c r="A285" s="2">
        <v>45474</v>
      </c>
      <c r="B285">
        <v>32</v>
      </c>
      <c r="C285">
        <v>6</v>
      </c>
      <c r="D285" s="3">
        <v>553.58000000000004</v>
      </c>
      <c r="E285">
        <v>3</v>
      </c>
      <c r="F285">
        <v>3939.56</v>
      </c>
      <c r="G285" t="s">
        <v>20</v>
      </c>
      <c r="H285" t="s">
        <v>44</v>
      </c>
      <c r="I285" t="s">
        <v>46</v>
      </c>
    </row>
    <row r="286" spans="1:9" x14ac:dyDescent="0.25">
      <c r="A286" s="2">
        <v>45474</v>
      </c>
      <c r="B286">
        <v>17</v>
      </c>
      <c r="C286">
        <v>8</v>
      </c>
      <c r="D286" s="3">
        <v>208.21</v>
      </c>
      <c r="E286">
        <v>4</v>
      </c>
      <c r="F286">
        <v>828.73</v>
      </c>
      <c r="G286" t="s">
        <v>19</v>
      </c>
      <c r="H286" t="s">
        <v>39</v>
      </c>
      <c r="I286" t="s">
        <v>45</v>
      </c>
    </row>
    <row r="287" spans="1:9" x14ac:dyDescent="0.25">
      <c r="A287" s="2">
        <v>45474</v>
      </c>
      <c r="B287">
        <v>50</v>
      </c>
      <c r="C287">
        <v>9</v>
      </c>
      <c r="D287" s="3">
        <v>246.06</v>
      </c>
      <c r="E287">
        <v>5</v>
      </c>
      <c r="F287">
        <v>4227.22</v>
      </c>
      <c r="G287" t="s">
        <v>16</v>
      </c>
      <c r="H287" t="s">
        <v>42</v>
      </c>
      <c r="I287" t="s">
        <v>45</v>
      </c>
    </row>
    <row r="288" spans="1:9" x14ac:dyDescent="0.25">
      <c r="A288" s="2">
        <v>45474</v>
      </c>
      <c r="B288">
        <v>31</v>
      </c>
      <c r="C288">
        <v>15</v>
      </c>
      <c r="D288" s="3">
        <v>347.38</v>
      </c>
      <c r="E288">
        <v>10</v>
      </c>
      <c r="F288">
        <v>1101.06</v>
      </c>
      <c r="G288" t="s">
        <v>17</v>
      </c>
      <c r="H288" t="s">
        <v>41</v>
      </c>
      <c r="I288" t="s">
        <v>45</v>
      </c>
    </row>
    <row r="289" spans="1:9" x14ac:dyDescent="0.25">
      <c r="A289" s="2">
        <v>45474</v>
      </c>
      <c r="B289">
        <v>77</v>
      </c>
      <c r="C289">
        <v>15</v>
      </c>
      <c r="D289" s="3">
        <v>282.58999999999997</v>
      </c>
      <c r="E289">
        <v>2</v>
      </c>
      <c r="F289">
        <v>2296.14</v>
      </c>
      <c r="G289" t="s">
        <v>15</v>
      </c>
      <c r="H289" t="s">
        <v>44</v>
      </c>
      <c r="I289" t="s">
        <v>45</v>
      </c>
    </row>
    <row r="290" spans="1:9" x14ac:dyDescent="0.25">
      <c r="A290" s="2">
        <v>45474</v>
      </c>
      <c r="B290">
        <v>70</v>
      </c>
      <c r="C290">
        <v>5</v>
      </c>
      <c r="D290" s="3">
        <v>491.31</v>
      </c>
      <c r="E290">
        <v>3</v>
      </c>
      <c r="F290">
        <v>3289.06</v>
      </c>
      <c r="G290" t="s">
        <v>14</v>
      </c>
      <c r="H290" t="s">
        <v>42</v>
      </c>
      <c r="I290" t="s">
        <v>45</v>
      </c>
    </row>
    <row r="291" spans="1:9" x14ac:dyDescent="0.25">
      <c r="A291" s="2">
        <v>45474</v>
      </c>
      <c r="B291">
        <v>77</v>
      </c>
      <c r="C291">
        <v>16</v>
      </c>
      <c r="D291" s="3">
        <v>335.59</v>
      </c>
      <c r="E291">
        <v>7</v>
      </c>
      <c r="F291">
        <v>1087.4100000000001</v>
      </c>
      <c r="G291" t="s">
        <v>18</v>
      </c>
      <c r="H291" t="s">
        <v>40</v>
      </c>
      <c r="I291" t="s">
        <v>45</v>
      </c>
    </row>
    <row r="292" spans="1:9" x14ac:dyDescent="0.25">
      <c r="A292" s="2">
        <v>45474</v>
      </c>
      <c r="B292">
        <v>71</v>
      </c>
      <c r="C292">
        <v>9</v>
      </c>
      <c r="D292" s="3">
        <v>220.4</v>
      </c>
      <c r="E292">
        <v>2</v>
      </c>
      <c r="F292">
        <v>692.29</v>
      </c>
      <c r="G292" t="s">
        <v>23</v>
      </c>
      <c r="H292" t="s">
        <v>35</v>
      </c>
      <c r="I292" t="s">
        <v>45</v>
      </c>
    </row>
    <row r="293" spans="1:9" x14ac:dyDescent="0.25">
      <c r="A293" s="2">
        <v>45474</v>
      </c>
      <c r="B293">
        <v>24</v>
      </c>
      <c r="C293">
        <v>13</v>
      </c>
      <c r="D293" s="3">
        <v>471.72</v>
      </c>
      <c r="E293">
        <v>7</v>
      </c>
      <c r="F293">
        <v>3588.89</v>
      </c>
      <c r="G293" t="s">
        <v>26</v>
      </c>
      <c r="H293" t="s">
        <v>38</v>
      </c>
      <c r="I293" t="s">
        <v>45</v>
      </c>
    </row>
    <row r="294" spans="1:9" x14ac:dyDescent="0.25">
      <c r="A294" s="2">
        <v>45474</v>
      </c>
      <c r="B294">
        <v>71</v>
      </c>
      <c r="C294">
        <v>7</v>
      </c>
      <c r="D294" s="3">
        <v>78.53</v>
      </c>
      <c r="E294">
        <v>4</v>
      </c>
      <c r="F294">
        <v>3652.64</v>
      </c>
      <c r="G294" t="s">
        <v>25</v>
      </c>
      <c r="H294" t="s">
        <v>43</v>
      </c>
      <c r="I294" t="s">
        <v>46</v>
      </c>
    </row>
    <row r="295" spans="1:9" x14ac:dyDescent="0.25">
      <c r="A295" s="2">
        <v>45474</v>
      </c>
      <c r="B295">
        <v>71</v>
      </c>
      <c r="C295">
        <v>12</v>
      </c>
      <c r="D295" s="3">
        <v>487.04</v>
      </c>
      <c r="E295">
        <v>5</v>
      </c>
      <c r="F295">
        <v>1004.9</v>
      </c>
      <c r="G295" t="s">
        <v>13</v>
      </c>
      <c r="H295" t="s">
        <v>42</v>
      </c>
      <c r="I295" t="s">
        <v>45</v>
      </c>
    </row>
    <row r="296" spans="1:9" x14ac:dyDescent="0.25">
      <c r="A296" s="2">
        <v>45474</v>
      </c>
      <c r="B296">
        <v>75</v>
      </c>
      <c r="C296">
        <v>17</v>
      </c>
      <c r="D296" s="3">
        <v>176.07</v>
      </c>
      <c r="E296">
        <v>5</v>
      </c>
      <c r="F296">
        <v>458.18</v>
      </c>
      <c r="G296" t="s">
        <v>27</v>
      </c>
      <c r="H296" t="s">
        <v>40</v>
      </c>
      <c r="I296" t="s">
        <v>45</v>
      </c>
    </row>
    <row r="297" spans="1:9" x14ac:dyDescent="0.25">
      <c r="A297" s="2">
        <v>45474</v>
      </c>
      <c r="B297">
        <v>76</v>
      </c>
      <c r="C297">
        <v>11</v>
      </c>
      <c r="D297" s="3">
        <v>486.93</v>
      </c>
      <c r="E297">
        <v>0</v>
      </c>
      <c r="F297">
        <v>1219.29</v>
      </c>
      <c r="G297" t="s">
        <v>28</v>
      </c>
      <c r="H297" t="s">
        <v>40</v>
      </c>
      <c r="I297" t="s">
        <v>46</v>
      </c>
    </row>
    <row r="298" spans="1:9" x14ac:dyDescent="0.25">
      <c r="A298" s="2">
        <v>45474</v>
      </c>
      <c r="B298">
        <v>20</v>
      </c>
      <c r="C298">
        <v>14</v>
      </c>
      <c r="D298" s="3">
        <v>283.66000000000003</v>
      </c>
      <c r="E298">
        <v>2</v>
      </c>
      <c r="F298">
        <v>1494.14</v>
      </c>
      <c r="G298" t="s">
        <v>29</v>
      </c>
      <c r="H298" t="s">
        <v>40</v>
      </c>
      <c r="I298" t="s">
        <v>45</v>
      </c>
    </row>
    <row r="299" spans="1:9" x14ac:dyDescent="0.25">
      <c r="A299" s="2">
        <v>45474</v>
      </c>
      <c r="B299">
        <v>79</v>
      </c>
      <c r="C299">
        <v>6</v>
      </c>
      <c r="D299" s="3">
        <v>536.04999999999995</v>
      </c>
      <c r="E299">
        <v>1</v>
      </c>
      <c r="F299">
        <v>3682.29</v>
      </c>
      <c r="G299" t="s">
        <v>30</v>
      </c>
      <c r="H299" t="s">
        <v>39</v>
      </c>
      <c r="I299" t="s">
        <v>46</v>
      </c>
    </row>
    <row r="300" spans="1:9" x14ac:dyDescent="0.25">
      <c r="A300" s="2">
        <v>45474</v>
      </c>
      <c r="B300">
        <v>82</v>
      </c>
      <c r="C300">
        <v>9</v>
      </c>
      <c r="D300" s="3">
        <v>171.86</v>
      </c>
      <c r="E300">
        <v>7</v>
      </c>
      <c r="F300">
        <v>506.88</v>
      </c>
      <c r="G300" t="s">
        <v>31</v>
      </c>
      <c r="H300" t="s">
        <v>35</v>
      </c>
      <c r="I300" t="s">
        <v>45</v>
      </c>
    </row>
    <row r="301" spans="1:9" x14ac:dyDescent="0.25">
      <c r="A301" s="2">
        <v>45474</v>
      </c>
      <c r="B301">
        <v>103</v>
      </c>
      <c r="C301">
        <v>15</v>
      </c>
      <c r="D301" s="3">
        <v>359.16</v>
      </c>
      <c r="E301">
        <v>1</v>
      </c>
      <c r="F301">
        <v>2949.94</v>
      </c>
      <c r="G301" t="s">
        <v>32</v>
      </c>
      <c r="H301" t="s">
        <v>40</v>
      </c>
      <c r="I301" t="s">
        <v>45</v>
      </c>
    </row>
    <row r="302" spans="1:9" x14ac:dyDescent="0.25">
      <c r="A302" s="2">
        <v>45474</v>
      </c>
      <c r="B302">
        <v>41</v>
      </c>
      <c r="C302">
        <v>9</v>
      </c>
      <c r="D302" s="3">
        <v>569.97</v>
      </c>
      <c r="E302">
        <v>5</v>
      </c>
      <c r="F302">
        <v>259.86</v>
      </c>
      <c r="G302" t="s">
        <v>33</v>
      </c>
      <c r="H302" t="s">
        <v>38</v>
      </c>
      <c r="I302" t="s">
        <v>45</v>
      </c>
    </row>
    <row r="303" spans="1:9" x14ac:dyDescent="0.25">
      <c r="A303" s="2">
        <v>45474</v>
      </c>
      <c r="B303">
        <v>38</v>
      </c>
      <c r="C303">
        <v>14</v>
      </c>
      <c r="D303" s="3">
        <v>359.22</v>
      </c>
      <c r="E303">
        <v>8</v>
      </c>
      <c r="F303">
        <v>3846.34</v>
      </c>
      <c r="G303" t="s">
        <v>34</v>
      </c>
      <c r="H303" t="s">
        <v>35</v>
      </c>
      <c r="I303" t="s">
        <v>46</v>
      </c>
    </row>
    <row r="304" spans="1:9" x14ac:dyDescent="0.25">
      <c r="A304" s="2">
        <v>45474</v>
      </c>
      <c r="B304">
        <v>83</v>
      </c>
      <c r="C304">
        <v>5</v>
      </c>
      <c r="D304" s="3">
        <v>166.85</v>
      </c>
      <c r="E304">
        <v>4</v>
      </c>
      <c r="F304">
        <v>1364.24</v>
      </c>
      <c r="G304" t="s">
        <v>24</v>
      </c>
      <c r="H304" t="s">
        <v>44</v>
      </c>
      <c r="I304" t="s">
        <v>46</v>
      </c>
    </row>
    <row r="305" spans="1:9" x14ac:dyDescent="0.25">
      <c r="A305" s="2">
        <v>45474</v>
      </c>
      <c r="B305">
        <v>18</v>
      </c>
      <c r="C305">
        <v>6</v>
      </c>
      <c r="D305" s="3">
        <v>76.27</v>
      </c>
      <c r="E305">
        <v>4</v>
      </c>
      <c r="F305">
        <v>1597.98</v>
      </c>
      <c r="G305" t="s">
        <v>12</v>
      </c>
      <c r="H305" t="s">
        <v>39</v>
      </c>
      <c r="I305" t="s">
        <v>45</v>
      </c>
    </row>
    <row r="306" spans="1:9" x14ac:dyDescent="0.25">
      <c r="A306" s="2">
        <v>45474</v>
      </c>
      <c r="B306">
        <v>62</v>
      </c>
      <c r="C306">
        <v>13</v>
      </c>
      <c r="D306" s="3">
        <v>364.64</v>
      </c>
      <c r="E306">
        <v>4</v>
      </c>
      <c r="F306">
        <v>3704.33</v>
      </c>
      <c r="G306" t="s">
        <v>10</v>
      </c>
      <c r="H306" t="s">
        <v>40</v>
      </c>
      <c r="I306" t="s">
        <v>46</v>
      </c>
    </row>
    <row r="307" spans="1:9" x14ac:dyDescent="0.25">
      <c r="A307" s="2">
        <v>45474</v>
      </c>
      <c r="B307">
        <v>71</v>
      </c>
      <c r="C307">
        <v>17</v>
      </c>
      <c r="D307" s="3">
        <v>360.1</v>
      </c>
      <c r="E307">
        <v>6</v>
      </c>
      <c r="F307">
        <v>4444.83</v>
      </c>
      <c r="G307" t="s">
        <v>9</v>
      </c>
      <c r="H307" t="s">
        <v>37</v>
      </c>
      <c r="I307" t="s">
        <v>46</v>
      </c>
    </row>
    <row r="308" spans="1:9" x14ac:dyDescent="0.25">
      <c r="A308" s="2">
        <v>45474</v>
      </c>
      <c r="B308">
        <v>53</v>
      </c>
      <c r="C308">
        <v>14</v>
      </c>
      <c r="D308" s="3">
        <v>367.56</v>
      </c>
      <c r="E308">
        <v>2</v>
      </c>
      <c r="F308">
        <v>3514.07</v>
      </c>
      <c r="G308" t="s">
        <v>11</v>
      </c>
      <c r="H308" t="s">
        <v>36</v>
      </c>
      <c r="I308" t="s">
        <v>45</v>
      </c>
    </row>
    <row r="309" spans="1:9" x14ac:dyDescent="0.25">
      <c r="A309" s="2">
        <v>45475</v>
      </c>
      <c r="B309">
        <v>73</v>
      </c>
      <c r="C309">
        <v>24</v>
      </c>
      <c r="D309" s="3">
        <v>519.16435235556901</v>
      </c>
      <c r="E309">
        <v>16</v>
      </c>
      <c r="F309">
        <v>1467.231703658405</v>
      </c>
      <c r="G309" t="s">
        <v>12</v>
      </c>
      <c r="H309" t="s">
        <v>42</v>
      </c>
      <c r="I309" t="s">
        <v>45</v>
      </c>
    </row>
    <row r="310" spans="1:9" x14ac:dyDescent="0.25">
      <c r="A310" s="2">
        <v>45476</v>
      </c>
      <c r="B310">
        <v>86</v>
      </c>
      <c r="C310">
        <v>75</v>
      </c>
      <c r="D310" s="3">
        <v>334.34657989748513</v>
      </c>
      <c r="E310">
        <v>32</v>
      </c>
      <c r="F310">
        <v>640.32410777578104</v>
      </c>
      <c r="G310" t="s">
        <v>12</v>
      </c>
      <c r="H310" t="s">
        <v>38</v>
      </c>
      <c r="I310" t="s">
        <v>45</v>
      </c>
    </row>
    <row r="311" spans="1:9" x14ac:dyDescent="0.25">
      <c r="A311" s="2">
        <v>45477</v>
      </c>
      <c r="B311">
        <v>84</v>
      </c>
      <c r="C311">
        <v>41</v>
      </c>
      <c r="D311" s="3">
        <v>307.4097511688326</v>
      </c>
      <c r="E311">
        <v>1</v>
      </c>
      <c r="F311">
        <v>1680.1881993492129</v>
      </c>
      <c r="G311" t="s">
        <v>49</v>
      </c>
      <c r="H311" t="s">
        <v>37</v>
      </c>
      <c r="I311" t="s">
        <v>45</v>
      </c>
    </row>
    <row r="312" spans="1:9" x14ac:dyDescent="0.25">
      <c r="A312" s="2">
        <v>45478</v>
      </c>
      <c r="B312">
        <v>93</v>
      </c>
      <c r="C312">
        <v>72</v>
      </c>
      <c r="D312" s="3">
        <v>236.7035359653531</v>
      </c>
      <c r="E312">
        <v>13</v>
      </c>
      <c r="F312">
        <v>3177.8506881511471</v>
      </c>
      <c r="G312" t="s">
        <v>48</v>
      </c>
      <c r="H312" t="s">
        <v>42</v>
      </c>
      <c r="I312" t="s">
        <v>46</v>
      </c>
    </row>
    <row r="313" spans="1:9" x14ac:dyDescent="0.25">
      <c r="A313" s="2">
        <v>45481</v>
      </c>
      <c r="B313">
        <v>89</v>
      </c>
      <c r="C313">
        <v>60</v>
      </c>
      <c r="D313" s="3">
        <v>128.18774832546359</v>
      </c>
      <c r="E313">
        <v>39</v>
      </c>
      <c r="F313">
        <v>731.41616067912651</v>
      </c>
      <c r="G313" t="s">
        <v>49</v>
      </c>
      <c r="H313" t="s">
        <v>38</v>
      </c>
      <c r="I313" t="s">
        <v>45</v>
      </c>
    </row>
    <row r="314" spans="1:9" x14ac:dyDescent="0.25">
      <c r="A314" s="2">
        <v>45482</v>
      </c>
      <c r="B314">
        <v>71</v>
      </c>
      <c r="C314">
        <v>34</v>
      </c>
      <c r="D314" s="3">
        <v>532.36118812752659</v>
      </c>
      <c r="E314">
        <v>39</v>
      </c>
      <c r="F314">
        <v>2733.648112405564</v>
      </c>
      <c r="G314" t="s">
        <v>34</v>
      </c>
      <c r="H314" t="s">
        <v>37</v>
      </c>
      <c r="I314" t="s">
        <v>45</v>
      </c>
    </row>
    <row r="315" spans="1:9" x14ac:dyDescent="0.25">
      <c r="A315" s="2">
        <v>45483</v>
      </c>
      <c r="B315">
        <v>76</v>
      </c>
      <c r="C315">
        <v>67</v>
      </c>
      <c r="D315" s="3">
        <v>506.45050456503878</v>
      </c>
      <c r="E315">
        <v>38</v>
      </c>
      <c r="F315">
        <v>3185.792820126002</v>
      </c>
      <c r="G315" t="s">
        <v>9</v>
      </c>
      <c r="H315" t="s">
        <v>42</v>
      </c>
      <c r="I315" t="s">
        <v>45</v>
      </c>
    </row>
    <row r="316" spans="1:9" x14ac:dyDescent="0.25">
      <c r="A316" s="2">
        <v>45484</v>
      </c>
      <c r="B316">
        <v>84</v>
      </c>
      <c r="C316">
        <v>72</v>
      </c>
      <c r="D316" s="3">
        <v>599.85883664306527</v>
      </c>
      <c r="E316">
        <v>5</v>
      </c>
      <c r="F316">
        <v>2004.097508676324</v>
      </c>
      <c r="G316" t="s">
        <v>9</v>
      </c>
      <c r="H316" t="s">
        <v>37</v>
      </c>
      <c r="I316" t="s">
        <v>45</v>
      </c>
    </row>
    <row r="317" spans="1:9" x14ac:dyDescent="0.25">
      <c r="A317" s="2">
        <v>45485</v>
      </c>
      <c r="B317">
        <v>50</v>
      </c>
      <c r="C317">
        <v>71</v>
      </c>
      <c r="D317" s="3">
        <v>598.31841853695266</v>
      </c>
      <c r="E317">
        <v>5</v>
      </c>
      <c r="F317">
        <v>3969.104916856199</v>
      </c>
      <c r="G317" t="s">
        <v>48</v>
      </c>
      <c r="H317" t="s">
        <v>37</v>
      </c>
      <c r="I317" t="s">
        <v>45</v>
      </c>
    </row>
    <row r="318" spans="1:9" x14ac:dyDescent="0.25">
      <c r="A318" s="2">
        <v>45488</v>
      </c>
      <c r="B318">
        <v>84</v>
      </c>
      <c r="C318">
        <v>31</v>
      </c>
      <c r="D318" s="3">
        <v>377.7158528013137</v>
      </c>
      <c r="E318">
        <v>2</v>
      </c>
      <c r="F318">
        <v>979.69213910197311</v>
      </c>
      <c r="G318" t="s">
        <v>12</v>
      </c>
      <c r="H318" t="s">
        <v>38</v>
      </c>
      <c r="I318" t="s">
        <v>45</v>
      </c>
    </row>
    <row r="319" spans="1:9" x14ac:dyDescent="0.25">
      <c r="A319" s="2">
        <v>45489</v>
      </c>
      <c r="B319">
        <v>86</v>
      </c>
      <c r="C319">
        <v>67</v>
      </c>
      <c r="D319" s="3">
        <v>484.49370759025533</v>
      </c>
      <c r="E319">
        <v>6</v>
      </c>
      <c r="F319">
        <v>838.12001781113941</v>
      </c>
      <c r="G319" t="s">
        <v>49</v>
      </c>
      <c r="H319" t="s">
        <v>37</v>
      </c>
      <c r="I319" t="s">
        <v>45</v>
      </c>
    </row>
    <row r="320" spans="1:9" x14ac:dyDescent="0.25">
      <c r="A320" s="2">
        <v>45490</v>
      </c>
      <c r="B320">
        <v>96</v>
      </c>
      <c r="C320">
        <v>67</v>
      </c>
      <c r="D320" s="3">
        <v>572.38286494121394</v>
      </c>
      <c r="E320">
        <v>7</v>
      </c>
      <c r="F320">
        <v>3776.8494029162148</v>
      </c>
      <c r="G320" t="s">
        <v>10</v>
      </c>
      <c r="H320" t="s">
        <v>37</v>
      </c>
      <c r="I320" t="s">
        <v>46</v>
      </c>
    </row>
    <row r="321" spans="1:9" x14ac:dyDescent="0.25">
      <c r="A321" s="2">
        <v>45491</v>
      </c>
      <c r="B321">
        <v>63</v>
      </c>
      <c r="C321">
        <v>58</v>
      </c>
      <c r="D321" s="3">
        <v>524.82369533870565</v>
      </c>
      <c r="E321">
        <v>14</v>
      </c>
      <c r="F321">
        <v>2729.7109229278931</v>
      </c>
      <c r="G321" t="s">
        <v>9</v>
      </c>
      <c r="H321" t="s">
        <v>38</v>
      </c>
      <c r="I321" t="s">
        <v>46</v>
      </c>
    </row>
    <row r="322" spans="1:9" x14ac:dyDescent="0.25">
      <c r="A322" s="2">
        <v>45492</v>
      </c>
      <c r="B322">
        <v>52</v>
      </c>
      <c r="C322">
        <v>61</v>
      </c>
      <c r="D322" s="3">
        <v>223.67405087159881</v>
      </c>
      <c r="E322">
        <v>28</v>
      </c>
      <c r="F322">
        <v>3597.8107839248119</v>
      </c>
      <c r="G322" t="s">
        <v>34</v>
      </c>
      <c r="H322" t="s">
        <v>44</v>
      </c>
      <c r="I322" t="s">
        <v>46</v>
      </c>
    </row>
    <row r="323" spans="1:9" x14ac:dyDescent="0.25">
      <c r="A323" s="2">
        <v>45495</v>
      </c>
      <c r="B323">
        <v>50</v>
      </c>
      <c r="C323">
        <v>51</v>
      </c>
      <c r="D323" s="3">
        <v>325.27206765504673</v>
      </c>
      <c r="E323">
        <v>32</v>
      </c>
      <c r="F323">
        <v>2456.7230237168578</v>
      </c>
      <c r="G323" t="s">
        <v>18</v>
      </c>
      <c r="H323" t="s">
        <v>36</v>
      </c>
      <c r="I323" t="s">
        <v>46</v>
      </c>
    </row>
    <row r="324" spans="1:9" x14ac:dyDescent="0.25">
      <c r="A324" s="2">
        <v>45496</v>
      </c>
      <c r="B324">
        <v>54</v>
      </c>
      <c r="C324">
        <v>79</v>
      </c>
      <c r="D324" s="3">
        <v>164.57970757574751</v>
      </c>
      <c r="E324">
        <v>29</v>
      </c>
      <c r="F324">
        <v>1608.8091495759811</v>
      </c>
      <c r="G324" t="s">
        <v>47</v>
      </c>
      <c r="H324" t="s">
        <v>40</v>
      </c>
      <c r="I324" t="s">
        <v>45</v>
      </c>
    </row>
    <row r="325" spans="1:9" x14ac:dyDescent="0.25">
      <c r="A325" s="2">
        <v>45497</v>
      </c>
      <c r="B325">
        <v>75</v>
      </c>
      <c r="C325">
        <v>24</v>
      </c>
      <c r="D325" s="3">
        <v>577.02551362936117</v>
      </c>
      <c r="E325">
        <v>38</v>
      </c>
      <c r="F325">
        <v>4185.9604295338986</v>
      </c>
      <c r="G325" t="s">
        <v>47</v>
      </c>
      <c r="H325" t="s">
        <v>43</v>
      </c>
      <c r="I325" t="s">
        <v>46</v>
      </c>
    </row>
    <row r="326" spans="1:9" x14ac:dyDescent="0.25">
      <c r="A326" s="2">
        <v>45498</v>
      </c>
      <c r="B326">
        <v>63</v>
      </c>
      <c r="C326">
        <v>63</v>
      </c>
      <c r="D326" s="3">
        <v>403.08731722544002</v>
      </c>
      <c r="E326">
        <v>26</v>
      </c>
      <c r="F326">
        <v>4097.3714553604068</v>
      </c>
      <c r="G326" t="s">
        <v>47</v>
      </c>
      <c r="H326" t="s">
        <v>35</v>
      </c>
      <c r="I326" t="s">
        <v>46</v>
      </c>
    </row>
    <row r="327" spans="1:9" x14ac:dyDescent="0.25">
      <c r="A327" s="2">
        <v>45499</v>
      </c>
      <c r="B327">
        <v>88</v>
      </c>
      <c r="C327">
        <v>69</v>
      </c>
      <c r="D327" s="3">
        <v>214.32140275173131</v>
      </c>
      <c r="E327">
        <v>35</v>
      </c>
      <c r="F327">
        <v>3626.134118844921</v>
      </c>
      <c r="G327" t="s">
        <v>10</v>
      </c>
      <c r="H327" t="s">
        <v>43</v>
      </c>
      <c r="I327" t="s">
        <v>45</v>
      </c>
    </row>
    <row r="328" spans="1:9" x14ac:dyDescent="0.25">
      <c r="A328" s="2">
        <v>45502</v>
      </c>
      <c r="B328">
        <v>76</v>
      </c>
      <c r="C328">
        <v>17</v>
      </c>
      <c r="D328" s="3">
        <v>435.85034220292829</v>
      </c>
      <c r="E328">
        <v>28</v>
      </c>
      <c r="F328">
        <v>1724.6531175348321</v>
      </c>
      <c r="G328" t="s">
        <v>12</v>
      </c>
      <c r="H328" t="s">
        <v>43</v>
      </c>
      <c r="I328" t="s">
        <v>45</v>
      </c>
    </row>
    <row r="329" spans="1:9" x14ac:dyDescent="0.25">
      <c r="A329" s="2">
        <v>45503</v>
      </c>
      <c r="B329">
        <v>58</v>
      </c>
      <c r="C329">
        <v>62</v>
      </c>
      <c r="D329" s="3">
        <v>409.0641202289479</v>
      </c>
      <c r="E329">
        <v>37</v>
      </c>
      <c r="F329">
        <v>3156.0380009108922</v>
      </c>
      <c r="G329" t="s">
        <v>49</v>
      </c>
      <c r="H329" t="s">
        <v>42</v>
      </c>
      <c r="I329" t="s">
        <v>46</v>
      </c>
    </row>
    <row r="330" spans="1:9" x14ac:dyDescent="0.25">
      <c r="A330" s="2">
        <v>45504</v>
      </c>
      <c r="B330">
        <v>64</v>
      </c>
      <c r="C330">
        <v>69</v>
      </c>
      <c r="D330" s="3">
        <v>279.08135901642032</v>
      </c>
      <c r="E330">
        <v>32</v>
      </c>
      <c r="F330">
        <v>2124.38253623012</v>
      </c>
      <c r="G330" t="s">
        <v>48</v>
      </c>
      <c r="H330" t="s">
        <v>36</v>
      </c>
      <c r="I330" t="s">
        <v>46</v>
      </c>
    </row>
    <row r="331" spans="1:9" x14ac:dyDescent="0.25">
      <c r="A331" s="2">
        <v>45505</v>
      </c>
      <c r="B331">
        <v>53</v>
      </c>
      <c r="C331">
        <v>15</v>
      </c>
      <c r="D331" s="3">
        <v>379.29</v>
      </c>
      <c r="E331">
        <v>2</v>
      </c>
      <c r="F331">
        <v>3409.69</v>
      </c>
      <c r="G331" t="s">
        <v>11</v>
      </c>
      <c r="H331" t="s">
        <v>41</v>
      </c>
      <c r="I331" t="s">
        <v>46</v>
      </c>
    </row>
    <row r="332" spans="1:9" x14ac:dyDescent="0.25">
      <c r="A332" s="2">
        <v>45505</v>
      </c>
      <c r="B332">
        <v>18</v>
      </c>
      <c r="C332">
        <v>8</v>
      </c>
      <c r="D332" s="3">
        <v>82.91</v>
      </c>
      <c r="E332">
        <v>3</v>
      </c>
      <c r="F332">
        <v>1387.86</v>
      </c>
      <c r="G332" t="s">
        <v>12</v>
      </c>
      <c r="H332" t="s">
        <v>43</v>
      </c>
      <c r="I332" t="s">
        <v>45</v>
      </c>
    </row>
    <row r="333" spans="1:9" x14ac:dyDescent="0.25">
      <c r="A333" s="2">
        <v>45505</v>
      </c>
      <c r="B333">
        <v>66</v>
      </c>
      <c r="C333">
        <v>13</v>
      </c>
      <c r="D333" s="3">
        <v>376.76</v>
      </c>
      <c r="E333">
        <v>5</v>
      </c>
      <c r="F333">
        <v>3819.73</v>
      </c>
      <c r="G333" t="s">
        <v>10</v>
      </c>
      <c r="H333" t="s">
        <v>42</v>
      </c>
      <c r="I333" t="s">
        <v>46</v>
      </c>
    </row>
    <row r="334" spans="1:9" x14ac:dyDescent="0.25">
      <c r="A334" s="2">
        <v>45505</v>
      </c>
      <c r="B334">
        <v>72</v>
      </c>
      <c r="C334">
        <v>14</v>
      </c>
      <c r="D334" s="3">
        <v>437.47</v>
      </c>
      <c r="E334">
        <v>4</v>
      </c>
      <c r="F334">
        <v>958.02</v>
      </c>
      <c r="G334" t="s">
        <v>13</v>
      </c>
      <c r="H334" t="s">
        <v>39</v>
      </c>
      <c r="I334" t="s">
        <v>46</v>
      </c>
    </row>
    <row r="335" spans="1:9" x14ac:dyDescent="0.25">
      <c r="A335" s="2">
        <v>45505</v>
      </c>
      <c r="B335">
        <v>80</v>
      </c>
      <c r="C335">
        <v>13</v>
      </c>
      <c r="D335" s="3">
        <v>504.59</v>
      </c>
      <c r="E335">
        <v>0</v>
      </c>
      <c r="F335">
        <v>1265.47</v>
      </c>
      <c r="G335" t="s">
        <v>28</v>
      </c>
      <c r="H335" t="s">
        <v>44</v>
      </c>
      <c r="I335" t="s">
        <v>45</v>
      </c>
    </row>
    <row r="336" spans="1:9" x14ac:dyDescent="0.25">
      <c r="A336" s="2">
        <v>45505</v>
      </c>
      <c r="B336">
        <v>76</v>
      </c>
      <c r="C336">
        <v>21</v>
      </c>
      <c r="D336" s="3">
        <v>293.93</v>
      </c>
      <c r="E336">
        <v>2</v>
      </c>
      <c r="F336">
        <v>2531.4</v>
      </c>
      <c r="G336" t="s">
        <v>15</v>
      </c>
      <c r="H336" t="s">
        <v>38</v>
      </c>
      <c r="I336" t="s">
        <v>46</v>
      </c>
    </row>
    <row r="337" spans="1:9" x14ac:dyDescent="0.25">
      <c r="A337" s="2">
        <v>45505</v>
      </c>
      <c r="B337">
        <v>40</v>
      </c>
      <c r="C337">
        <v>17</v>
      </c>
      <c r="D337" s="3">
        <v>355.83</v>
      </c>
      <c r="E337">
        <v>6</v>
      </c>
      <c r="F337">
        <v>4155.8599999999997</v>
      </c>
      <c r="G337" t="s">
        <v>34</v>
      </c>
      <c r="H337" t="s">
        <v>43</v>
      </c>
      <c r="I337" t="s">
        <v>45</v>
      </c>
    </row>
    <row r="338" spans="1:9" x14ac:dyDescent="0.25">
      <c r="A338" s="2">
        <v>45505</v>
      </c>
      <c r="B338">
        <v>34</v>
      </c>
      <c r="C338">
        <v>10</v>
      </c>
      <c r="D338" s="3">
        <v>565.11</v>
      </c>
      <c r="E338">
        <v>5</v>
      </c>
      <c r="F338">
        <v>222.62</v>
      </c>
      <c r="G338" t="s">
        <v>33</v>
      </c>
      <c r="H338" t="s">
        <v>42</v>
      </c>
      <c r="I338" t="s">
        <v>45</v>
      </c>
    </row>
    <row r="339" spans="1:9" x14ac:dyDescent="0.25">
      <c r="A339" s="2">
        <v>45505</v>
      </c>
      <c r="B339">
        <v>115</v>
      </c>
      <c r="C339">
        <v>17</v>
      </c>
      <c r="D339" s="3">
        <v>422.48</v>
      </c>
      <c r="E339">
        <v>0</v>
      </c>
      <c r="F339">
        <v>2681.51</v>
      </c>
      <c r="G339" t="s">
        <v>32</v>
      </c>
      <c r="H339" t="s">
        <v>40</v>
      </c>
      <c r="I339" t="s">
        <v>46</v>
      </c>
    </row>
    <row r="340" spans="1:9" x14ac:dyDescent="0.25">
      <c r="A340" s="2">
        <v>45505</v>
      </c>
      <c r="B340">
        <v>64</v>
      </c>
      <c r="C340">
        <v>7</v>
      </c>
      <c r="D340" s="3">
        <v>554.20000000000005</v>
      </c>
      <c r="E340">
        <v>2</v>
      </c>
      <c r="F340">
        <v>3620.9</v>
      </c>
      <c r="G340" t="s">
        <v>14</v>
      </c>
      <c r="H340" t="s">
        <v>41</v>
      </c>
      <c r="I340" t="s">
        <v>46</v>
      </c>
    </row>
    <row r="341" spans="1:9" x14ac:dyDescent="0.25">
      <c r="A341" s="2">
        <v>45505</v>
      </c>
      <c r="B341">
        <v>106</v>
      </c>
      <c r="C341">
        <v>6</v>
      </c>
      <c r="D341" s="3">
        <v>572.16</v>
      </c>
      <c r="E341">
        <v>2</v>
      </c>
      <c r="F341">
        <v>3398.37</v>
      </c>
      <c r="G341" t="s">
        <v>30</v>
      </c>
      <c r="H341" t="s">
        <v>41</v>
      </c>
      <c r="I341" t="s">
        <v>46</v>
      </c>
    </row>
    <row r="342" spans="1:9" x14ac:dyDescent="0.25">
      <c r="A342" s="2">
        <v>45505</v>
      </c>
      <c r="B342">
        <v>18</v>
      </c>
      <c r="C342">
        <v>12</v>
      </c>
      <c r="D342" s="3">
        <v>262.26</v>
      </c>
      <c r="E342">
        <v>1</v>
      </c>
      <c r="F342">
        <v>1573.7</v>
      </c>
      <c r="G342" t="s">
        <v>29</v>
      </c>
      <c r="H342" t="s">
        <v>42</v>
      </c>
      <c r="I342" t="s">
        <v>46</v>
      </c>
    </row>
    <row r="343" spans="1:9" x14ac:dyDescent="0.25">
      <c r="A343" s="2">
        <v>45505</v>
      </c>
      <c r="B343">
        <v>85</v>
      </c>
      <c r="C343">
        <v>17</v>
      </c>
      <c r="D343" s="3">
        <v>187.72</v>
      </c>
      <c r="E343">
        <v>5</v>
      </c>
      <c r="F343">
        <v>443.22</v>
      </c>
      <c r="G343" t="s">
        <v>27</v>
      </c>
      <c r="H343" t="s">
        <v>41</v>
      </c>
      <c r="I343" t="s">
        <v>46</v>
      </c>
    </row>
    <row r="344" spans="1:9" x14ac:dyDescent="0.25">
      <c r="A344" s="2">
        <v>45505</v>
      </c>
      <c r="B344">
        <v>22</v>
      </c>
      <c r="C344">
        <v>14</v>
      </c>
      <c r="D344" s="3">
        <v>477.3</v>
      </c>
      <c r="E344">
        <v>6</v>
      </c>
      <c r="F344">
        <v>3790.05</v>
      </c>
      <c r="G344" t="s">
        <v>26</v>
      </c>
      <c r="H344" t="s">
        <v>39</v>
      </c>
      <c r="I344" t="s">
        <v>46</v>
      </c>
    </row>
    <row r="345" spans="1:9" x14ac:dyDescent="0.25">
      <c r="A345" s="2">
        <v>45505</v>
      </c>
      <c r="B345">
        <v>71</v>
      </c>
      <c r="C345">
        <v>6</v>
      </c>
      <c r="D345" s="3">
        <v>87.5</v>
      </c>
      <c r="E345">
        <v>3</v>
      </c>
      <c r="F345">
        <v>3666.64</v>
      </c>
      <c r="G345" t="s">
        <v>25</v>
      </c>
      <c r="H345" t="s">
        <v>36</v>
      </c>
      <c r="I345" t="s">
        <v>45</v>
      </c>
    </row>
    <row r="346" spans="1:9" x14ac:dyDescent="0.25">
      <c r="A346" s="2">
        <v>45505</v>
      </c>
      <c r="B346">
        <v>71</v>
      </c>
      <c r="C346">
        <v>9</v>
      </c>
      <c r="D346" s="3">
        <v>172.96</v>
      </c>
      <c r="E346">
        <v>6</v>
      </c>
      <c r="F346">
        <v>464.49</v>
      </c>
      <c r="G346" t="s">
        <v>31</v>
      </c>
      <c r="H346" t="s">
        <v>42</v>
      </c>
      <c r="I346" t="s">
        <v>46</v>
      </c>
    </row>
    <row r="347" spans="1:9" x14ac:dyDescent="0.25">
      <c r="A347" s="2">
        <v>45505</v>
      </c>
      <c r="B347">
        <v>73</v>
      </c>
      <c r="C347">
        <v>8</v>
      </c>
      <c r="D347" s="3">
        <v>191.76</v>
      </c>
      <c r="E347">
        <v>3</v>
      </c>
      <c r="F347">
        <v>675.97</v>
      </c>
      <c r="G347" t="s">
        <v>23</v>
      </c>
      <c r="H347" t="s">
        <v>39</v>
      </c>
      <c r="I347" t="s">
        <v>45</v>
      </c>
    </row>
    <row r="348" spans="1:9" x14ac:dyDescent="0.25">
      <c r="A348" s="2">
        <v>45505</v>
      </c>
      <c r="B348">
        <v>104</v>
      </c>
      <c r="C348">
        <v>4</v>
      </c>
      <c r="D348" s="3">
        <v>169.75</v>
      </c>
      <c r="E348">
        <v>3</v>
      </c>
      <c r="F348">
        <v>1255.83</v>
      </c>
      <c r="G348" t="s">
        <v>24</v>
      </c>
      <c r="H348" t="s">
        <v>39</v>
      </c>
      <c r="I348" t="s">
        <v>45</v>
      </c>
    </row>
    <row r="349" spans="1:9" x14ac:dyDescent="0.25">
      <c r="A349" s="2">
        <v>45505</v>
      </c>
      <c r="B349">
        <v>64</v>
      </c>
      <c r="C349">
        <v>9</v>
      </c>
      <c r="D349" s="3">
        <v>255.17</v>
      </c>
      <c r="E349">
        <v>6</v>
      </c>
      <c r="F349">
        <v>4136.6899999999996</v>
      </c>
      <c r="G349" t="s">
        <v>16</v>
      </c>
      <c r="H349" t="s">
        <v>39</v>
      </c>
      <c r="I349" t="s">
        <v>46</v>
      </c>
    </row>
    <row r="350" spans="1:9" x14ac:dyDescent="0.25">
      <c r="A350" s="2">
        <v>45505</v>
      </c>
      <c r="B350">
        <v>26</v>
      </c>
      <c r="C350">
        <v>17</v>
      </c>
      <c r="D350" s="3">
        <v>391.73</v>
      </c>
      <c r="E350">
        <v>7</v>
      </c>
      <c r="F350">
        <v>1166.55</v>
      </c>
      <c r="G350" t="s">
        <v>17</v>
      </c>
      <c r="H350" t="s">
        <v>37</v>
      </c>
      <c r="I350" t="s">
        <v>45</v>
      </c>
    </row>
    <row r="351" spans="1:9" x14ac:dyDescent="0.25">
      <c r="A351" s="2">
        <v>45505</v>
      </c>
      <c r="B351">
        <v>65</v>
      </c>
      <c r="C351">
        <v>13</v>
      </c>
      <c r="D351" s="3">
        <v>324.26</v>
      </c>
      <c r="E351">
        <v>7</v>
      </c>
      <c r="F351">
        <v>1044.8599999999999</v>
      </c>
      <c r="G351" t="s">
        <v>18</v>
      </c>
      <c r="H351" t="s">
        <v>41</v>
      </c>
      <c r="I351" t="s">
        <v>45</v>
      </c>
    </row>
    <row r="352" spans="1:9" x14ac:dyDescent="0.25">
      <c r="A352" s="2">
        <v>45505</v>
      </c>
      <c r="B352">
        <v>71</v>
      </c>
      <c r="C352">
        <v>15</v>
      </c>
      <c r="D352" s="3">
        <v>297.05</v>
      </c>
      <c r="E352">
        <v>6</v>
      </c>
      <c r="F352">
        <v>4043.62</v>
      </c>
      <c r="G352" t="s">
        <v>9</v>
      </c>
      <c r="H352" t="s">
        <v>38</v>
      </c>
      <c r="I352" t="s">
        <v>46</v>
      </c>
    </row>
    <row r="353" spans="1:9" x14ac:dyDescent="0.25">
      <c r="A353" s="2">
        <v>45505</v>
      </c>
      <c r="B353">
        <v>30</v>
      </c>
      <c r="C353">
        <v>6</v>
      </c>
      <c r="D353" s="3">
        <v>549.26</v>
      </c>
      <c r="E353">
        <v>2</v>
      </c>
      <c r="F353">
        <v>3868.36</v>
      </c>
      <c r="G353" t="s">
        <v>20</v>
      </c>
      <c r="H353" t="s">
        <v>38</v>
      </c>
      <c r="I353" t="s">
        <v>46</v>
      </c>
    </row>
    <row r="354" spans="1:9" x14ac:dyDescent="0.25">
      <c r="A354" s="2">
        <v>45505</v>
      </c>
      <c r="B354">
        <v>83</v>
      </c>
      <c r="C354">
        <v>15</v>
      </c>
      <c r="D354" s="3">
        <v>601.05999999999995</v>
      </c>
      <c r="E354">
        <v>3</v>
      </c>
      <c r="F354">
        <v>350.62</v>
      </c>
      <c r="G354" t="s">
        <v>21</v>
      </c>
      <c r="H354" t="s">
        <v>38</v>
      </c>
      <c r="I354" t="s">
        <v>45</v>
      </c>
    </row>
    <row r="355" spans="1:9" x14ac:dyDescent="0.25">
      <c r="A355" s="2">
        <v>45505</v>
      </c>
      <c r="B355">
        <v>35</v>
      </c>
      <c r="C355">
        <v>6</v>
      </c>
      <c r="D355" s="3">
        <v>192.19</v>
      </c>
      <c r="E355">
        <v>1</v>
      </c>
      <c r="F355">
        <v>3963.32</v>
      </c>
      <c r="G355" t="s">
        <v>22</v>
      </c>
      <c r="H355" t="s">
        <v>42</v>
      </c>
      <c r="I355" t="s">
        <v>45</v>
      </c>
    </row>
    <row r="356" spans="1:9" x14ac:dyDescent="0.25">
      <c r="A356" s="2">
        <v>45505</v>
      </c>
      <c r="B356">
        <v>22</v>
      </c>
      <c r="C356">
        <v>9</v>
      </c>
      <c r="D356" s="3">
        <v>211.28</v>
      </c>
      <c r="E356">
        <v>8</v>
      </c>
      <c r="F356">
        <v>772.77</v>
      </c>
      <c r="G356" t="s">
        <v>19</v>
      </c>
      <c r="H356" t="s">
        <v>35</v>
      </c>
      <c r="I356" t="s">
        <v>45</v>
      </c>
    </row>
    <row r="357" spans="1:9" x14ac:dyDescent="0.25">
      <c r="A357" s="2">
        <v>45506</v>
      </c>
      <c r="B357">
        <v>64</v>
      </c>
      <c r="C357">
        <v>14</v>
      </c>
      <c r="D357" s="3">
        <v>156.77879609981451</v>
      </c>
      <c r="E357">
        <v>36</v>
      </c>
      <c r="F357">
        <v>912.11932996985365</v>
      </c>
      <c r="G357" t="s">
        <v>10</v>
      </c>
      <c r="H357" t="s">
        <v>42</v>
      </c>
      <c r="I357" t="s">
        <v>45</v>
      </c>
    </row>
    <row r="358" spans="1:9" x14ac:dyDescent="0.25">
      <c r="A358" s="2">
        <v>45509</v>
      </c>
      <c r="B358">
        <v>75</v>
      </c>
      <c r="C358">
        <v>77</v>
      </c>
      <c r="D358" s="3">
        <v>435.7865977963998</v>
      </c>
      <c r="E358">
        <v>26</v>
      </c>
      <c r="F358">
        <v>4627.9110895800923</v>
      </c>
      <c r="G358" t="s">
        <v>10</v>
      </c>
      <c r="H358" t="s">
        <v>36</v>
      </c>
      <c r="I358" t="s">
        <v>46</v>
      </c>
    </row>
    <row r="359" spans="1:9" x14ac:dyDescent="0.25">
      <c r="A359" s="2">
        <v>45510</v>
      </c>
      <c r="B359">
        <v>91</v>
      </c>
      <c r="C359">
        <v>15</v>
      </c>
      <c r="D359" s="3">
        <v>360.15385045189657</v>
      </c>
      <c r="E359">
        <v>32</v>
      </c>
      <c r="F359">
        <v>1115.683839135326</v>
      </c>
      <c r="G359" t="s">
        <v>9</v>
      </c>
      <c r="H359" t="s">
        <v>38</v>
      </c>
      <c r="I359" t="s">
        <v>45</v>
      </c>
    </row>
    <row r="360" spans="1:9" x14ac:dyDescent="0.25">
      <c r="A360" s="2">
        <v>45511</v>
      </c>
      <c r="B360">
        <v>62</v>
      </c>
      <c r="C360">
        <v>56</v>
      </c>
      <c r="D360" s="3">
        <v>486.15919586781968</v>
      </c>
      <c r="E360">
        <v>3</v>
      </c>
      <c r="F360">
        <v>4776.0680921936109</v>
      </c>
      <c r="G360" t="s">
        <v>18</v>
      </c>
      <c r="H360" t="s">
        <v>38</v>
      </c>
      <c r="I360" t="s">
        <v>45</v>
      </c>
    </row>
    <row r="361" spans="1:9" x14ac:dyDescent="0.25">
      <c r="A361" s="2">
        <v>45512</v>
      </c>
      <c r="B361">
        <v>81</v>
      </c>
      <c r="C361">
        <v>64</v>
      </c>
      <c r="D361" s="3">
        <v>360.08175055599668</v>
      </c>
      <c r="E361">
        <v>21</v>
      </c>
      <c r="F361">
        <v>2507.0259783108008</v>
      </c>
      <c r="G361" t="s">
        <v>10</v>
      </c>
      <c r="H361" t="s">
        <v>40</v>
      </c>
      <c r="I361" t="s">
        <v>45</v>
      </c>
    </row>
    <row r="362" spans="1:9" x14ac:dyDescent="0.25">
      <c r="A362" s="2">
        <v>45513</v>
      </c>
      <c r="B362">
        <v>88</v>
      </c>
      <c r="C362">
        <v>49</v>
      </c>
      <c r="D362" s="3">
        <v>526.0907501592701</v>
      </c>
      <c r="E362">
        <v>1</v>
      </c>
      <c r="F362">
        <v>1333.0981797737879</v>
      </c>
      <c r="G362" t="s">
        <v>34</v>
      </c>
      <c r="H362" t="s">
        <v>36</v>
      </c>
      <c r="I362" t="s">
        <v>45</v>
      </c>
    </row>
    <row r="363" spans="1:9" x14ac:dyDescent="0.25">
      <c r="A363" s="2">
        <v>45516</v>
      </c>
      <c r="B363">
        <v>98</v>
      </c>
      <c r="C363">
        <v>61</v>
      </c>
      <c r="D363" s="3">
        <v>375.95341938724277</v>
      </c>
      <c r="E363">
        <v>9</v>
      </c>
      <c r="F363">
        <v>2938.5542632026122</v>
      </c>
      <c r="G363" t="s">
        <v>18</v>
      </c>
      <c r="H363" t="s">
        <v>37</v>
      </c>
      <c r="I363" t="s">
        <v>46</v>
      </c>
    </row>
    <row r="364" spans="1:9" x14ac:dyDescent="0.25">
      <c r="A364" s="2">
        <v>45517</v>
      </c>
      <c r="B364">
        <v>81</v>
      </c>
      <c r="C364">
        <v>25</v>
      </c>
      <c r="D364" s="3">
        <v>380.46898576769308</v>
      </c>
      <c r="E364">
        <v>4</v>
      </c>
      <c r="F364">
        <v>4428.2562614438384</v>
      </c>
      <c r="G364" t="s">
        <v>34</v>
      </c>
      <c r="H364" t="s">
        <v>44</v>
      </c>
      <c r="I364" t="s">
        <v>45</v>
      </c>
    </row>
    <row r="365" spans="1:9" x14ac:dyDescent="0.25">
      <c r="A365" s="2">
        <v>45518</v>
      </c>
      <c r="B365">
        <v>53</v>
      </c>
      <c r="C365">
        <v>22</v>
      </c>
      <c r="D365" s="3">
        <v>538.32680132917244</v>
      </c>
      <c r="E365">
        <v>9</v>
      </c>
      <c r="F365">
        <v>3795.0119888430249</v>
      </c>
      <c r="G365" t="s">
        <v>12</v>
      </c>
      <c r="H365" t="s">
        <v>40</v>
      </c>
      <c r="I365" t="s">
        <v>45</v>
      </c>
    </row>
    <row r="366" spans="1:9" x14ac:dyDescent="0.25">
      <c r="A366" s="2">
        <v>45519</v>
      </c>
      <c r="B366">
        <v>79</v>
      </c>
      <c r="C366">
        <v>39</v>
      </c>
      <c r="D366" s="3">
        <v>301.74143310619849</v>
      </c>
      <c r="E366">
        <v>32</v>
      </c>
      <c r="F366">
        <v>4129.5251653765235</v>
      </c>
      <c r="G366" t="s">
        <v>49</v>
      </c>
      <c r="H366" t="s">
        <v>40</v>
      </c>
      <c r="I366" t="s">
        <v>46</v>
      </c>
    </row>
    <row r="367" spans="1:9" x14ac:dyDescent="0.25">
      <c r="A367" s="2">
        <v>45520</v>
      </c>
      <c r="B367">
        <v>86</v>
      </c>
      <c r="C367">
        <v>28</v>
      </c>
      <c r="D367" s="3">
        <v>167.0076142253204</v>
      </c>
      <c r="E367">
        <v>37</v>
      </c>
      <c r="F367">
        <v>3464.5251501982279</v>
      </c>
      <c r="G367" t="s">
        <v>47</v>
      </c>
      <c r="H367" t="s">
        <v>37</v>
      </c>
      <c r="I367" t="s">
        <v>45</v>
      </c>
    </row>
    <row r="368" spans="1:9" x14ac:dyDescent="0.25">
      <c r="A368" s="2">
        <v>45523</v>
      </c>
      <c r="B368">
        <v>72</v>
      </c>
      <c r="C368">
        <v>26</v>
      </c>
      <c r="D368" s="3">
        <v>114.39133815666951</v>
      </c>
      <c r="E368">
        <v>12</v>
      </c>
      <c r="F368">
        <v>3615.2445403303359</v>
      </c>
      <c r="G368" t="s">
        <v>10</v>
      </c>
      <c r="H368" t="s">
        <v>44</v>
      </c>
      <c r="I368" t="s">
        <v>46</v>
      </c>
    </row>
    <row r="369" spans="1:9" x14ac:dyDescent="0.25">
      <c r="A369" s="2">
        <v>45524</v>
      </c>
      <c r="B369">
        <v>88</v>
      </c>
      <c r="C369">
        <v>72</v>
      </c>
      <c r="D369" s="3">
        <v>477.56862783680953</v>
      </c>
      <c r="E369">
        <v>30</v>
      </c>
      <c r="F369">
        <v>4321.3804320439367</v>
      </c>
      <c r="G369" t="s">
        <v>49</v>
      </c>
      <c r="H369" t="s">
        <v>42</v>
      </c>
      <c r="I369" t="s">
        <v>46</v>
      </c>
    </row>
    <row r="370" spans="1:9" x14ac:dyDescent="0.25">
      <c r="A370" s="2">
        <v>45525</v>
      </c>
      <c r="B370">
        <v>94</v>
      </c>
      <c r="C370">
        <v>28</v>
      </c>
      <c r="D370" s="3">
        <v>410.15477567673241</v>
      </c>
      <c r="E370">
        <v>35</v>
      </c>
      <c r="F370">
        <v>1623.506039866337</v>
      </c>
      <c r="G370" t="s">
        <v>12</v>
      </c>
      <c r="H370" t="s">
        <v>44</v>
      </c>
      <c r="I370" t="s">
        <v>46</v>
      </c>
    </row>
    <row r="371" spans="1:9" x14ac:dyDescent="0.25">
      <c r="A371" s="2">
        <v>45526</v>
      </c>
      <c r="B371">
        <v>64</v>
      </c>
      <c r="C371">
        <v>67</v>
      </c>
      <c r="D371" s="3">
        <v>452.03988404961183</v>
      </c>
      <c r="E371">
        <v>23</v>
      </c>
      <c r="F371">
        <v>2702.4123363941321</v>
      </c>
      <c r="G371" t="s">
        <v>48</v>
      </c>
      <c r="H371" t="s">
        <v>42</v>
      </c>
      <c r="I371" t="s">
        <v>45</v>
      </c>
    </row>
    <row r="372" spans="1:9" x14ac:dyDescent="0.25">
      <c r="A372" s="2">
        <v>45527</v>
      </c>
      <c r="B372">
        <v>92</v>
      </c>
      <c r="C372">
        <v>64</v>
      </c>
      <c r="D372" s="3">
        <v>206.48208075445541</v>
      </c>
      <c r="E372">
        <v>14</v>
      </c>
      <c r="F372">
        <v>1495.4424881882101</v>
      </c>
      <c r="G372" t="s">
        <v>48</v>
      </c>
      <c r="H372" t="s">
        <v>38</v>
      </c>
      <c r="I372" t="s">
        <v>46</v>
      </c>
    </row>
    <row r="373" spans="1:9" x14ac:dyDescent="0.25">
      <c r="A373" s="2">
        <v>45530</v>
      </c>
      <c r="B373">
        <v>78</v>
      </c>
      <c r="C373">
        <v>71</v>
      </c>
      <c r="D373" s="3">
        <v>168.1857377933849</v>
      </c>
      <c r="E373">
        <v>28</v>
      </c>
      <c r="F373">
        <v>4944.5060359849113</v>
      </c>
      <c r="G373" t="s">
        <v>12</v>
      </c>
      <c r="H373" t="s">
        <v>43</v>
      </c>
      <c r="I373" t="s">
        <v>46</v>
      </c>
    </row>
    <row r="374" spans="1:9" x14ac:dyDescent="0.25">
      <c r="A374" s="2">
        <v>45531</v>
      </c>
      <c r="B374">
        <v>85</v>
      </c>
      <c r="C374">
        <v>32</v>
      </c>
      <c r="D374" s="3">
        <v>107.27233283394099</v>
      </c>
      <c r="E374">
        <v>7</v>
      </c>
      <c r="F374">
        <v>4748.2670285897593</v>
      </c>
      <c r="G374" t="s">
        <v>34</v>
      </c>
      <c r="H374" t="s">
        <v>38</v>
      </c>
      <c r="I374" t="s">
        <v>45</v>
      </c>
    </row>
    <row r="375" spans="1:9" x14ac:dyDescent="0.25">
      <c r="A375" s="2">
        <v>45532</v>
      </c>
      <c r="B375">
        <v>62</v>
      </c>
      <c r="C375">
        <v>18</v>
      </c>
      <c r="D375" s="3">
        <v>275.29377940329852</v>
      </c>
      <c r="E375">
        <v>4</v>
      </c>
      <c r="F375">
        <v>677.42065115827654</v>
      </c>
      <c r="G375" t="s">
        <v>9</v>
      </c>
      <c r="H375" t="s">
        <v>38</v>
      </c>
      <c r="I375" t="s">
        <v>46</v>
      </c>
    </row>
    <row r="376" spans="1:9" x14ac:dyDescent="0.25">
      <c r="A376" s="2">
        <v>45533</v>
      </c>
      <c r="B376">
        <v>81</v>
      </c>
      <c r="C376">
        <v>21</v>
      </c>
      <c r="D376" s="3">
        <v>394.95884342731648</v>
      </c>
      <c r="E376">
        <v>28</v>
      </c>
      <c r="F376">
        <v>3675.0882763205982</v>
      </c>
      <c r="G376" t="s">
        <v>9</v>
      </c>
      <c r="H376" t="s">
        <v>43</v>
      </c>
      <c r="I376" t="s">
        <v>46</v>
      </c>
    </row>
    <row r="377" spans="1:9" x14ac:dyDescent="0.25">
      <c r="A377" s="2">
        <v>45534</v>
      </c>
      <c r="B377">
        <v>56</v>
      </c>
      <c r="C377">
        <v>10</v>
      </c>
      <c r="D377" s="3">
        <v>296.12202254986619</v>
      </c>
      <c r="E377">
        <v>3</v>
      </c>
      <c r="F377">
        <v>4663.6174283704959</v>
      </c>
      <c r="G377" t="s">
        <v>34</v>
      </c>
      <c r="H377" t="s">
        <v>44</v>
      </c>
      <c r="I377" t="s">
        <v>46</v>
      </c>
    </row>
    <row r="378" spans="1:9" x14ac:dyDescent="0.25">
      <c r="A378" s="2">
        <v>45536</v>
      </c>
      <c r="B378">
        <v>37</v>
      </c>
      <c r="C378">
        <v>8</v>
      </c>
      <c r="D378" s="3">
        <v>215.09</v>
      </c>
      <c r="E378">
        <v>2</v>
      </c>
      <c r="F378">
        <v>3424.83</v>
      </c>
      <c r="G378" t="s">
        <v>22</v>
      </c>
      <c r="H378" t="s">
        <v>41</v>
      </c>
      <c r="I378" t="s">
        <v>45</v>
      </c>
    </row>
    <row r="379" spans="1:9" x14ac:dyDescent="0.25">
      <c r="A379" s="2">
        <v>45536</v>
      </c>
      <c r="B379">
        <v>87</v>
      </c>
      <c r="C379">
        <v>21</v>
      </c>
      <c r="D379" s="3">
        <v>633.13</v>
      </c>
      <c r="E379">
        <v>2</v>
      </c>
      <c r="F379">
        <v>336.22</v>
      </c>
      <c r="G379" t="s">
        <v>21</v>
      </c>
      <c r="H379" t="s">
        <v>42</v>
      </c>
      <c r="I379" t="s">
        <v>46</v>
      </c>
    </row>
    <row r="380" spans="1:9" x14ac:dyDescent="0.25">
      <c r="A380" s="2">
        <v>45536</v>
      </c>
      <c r="B380">
        <v>38</v>
      </c>
      <c r="C380">
        <v>6</v>
      </c>
      <c r="D380" s="3">
        <v>553.89</v>
      </c>
      <c r="E380">
        <v>6</v>
      </c>
      <c r="F380">
        <v>4013.79</v>
      </c>
      <c r="G380" t="s">
        <v>20</v>
      </c>
      <c r="H380" t="s">
        <v>44</v>
      </c>
      <c r="I380" t="s">
        <v>46</v>
      </c>
    </row>
    <row r="381" spans="1:9" x14ac:dyDescent="0.25">
      <c r="A381" s="2">
        <v>45536</v>
      </c>
      <c r="B381">
        <v>22</v>
      </c>
      <c r="C381">
        <v>7</v>
      </c>
      <c r="D381" s="3">
        <v>182.47</v>
      </c>
      <c r="E381">
        <v>7</v>
      </c>
      <c r="F381">
        <v>779.86</v>
      </c>
      <c r="G381" t="s">
        <v>19</v>
      </c>
      <c r="H381" t="s">
        <v>36</v>
      </c>
      <c r="I381" t="s">
        <v>46</v>
      </c>
    </row>
    <row r="382" spans="1:9" x14ac:dyDescent="0.25">
      <c r="A382" s="2">
        <v>45536</v>
      </c>
      <c r="B382">
        <v>57</v>
      </c>
      <c r="C382">
        <v>7</v>
      </c>
      <c r="D382" s="3">
        <v>262.27999999999997</v>
      </c>
      <c r="E382">
        <v>7</v>
      </c>
      <c r="F382">
        <v>3929.11</v>
      </c>
      <c r="G382" t="s">
        <v>16</v>
      </c>
      <c r="H382" t="s">
        <v>36</v>
      </c>
      <c r="I382" t="s">
        <v>46</v>
      </c>
    </row>
    <row r="383" spans="1:9" x14ac:dyDescent="0.25">
      <c r="A383" s="2">
        <v>45536</v>
      </c>
      <c r="B383">
        <v>26</v>
      </c>
      <c r="C383">
        <v>21</v>
      </c>
      <c r="D383" s="3">
        <v>359.51</v>
      </c>
      <c r="E383">
        <v>9</v>
      </c>
      <c r="F383">
        <v>1187.3699999999999</v>
      </c>
      <c r="G383" t="s">
        <v>17</v>
      </c>
      <c r="H383" t="s">
        <v>43</v>
      </c>
      <c r="I383" t="s">
        <v>45</v>
      </c>
    </row>
    <row r="384" spans="1:9" x14ac:dyDescent="0.25">
      <c r="A384" s="2">
        <v>45536</v>
      </c>
      <c r="B384">
        <v>71</v>
      </c>
      <c r="C384">
        <v>8</v>
      </c>
      <c r="D384" s="3">
        <v>199.19</v>
      </c>
      <c r="E384">
        <v>2</v>
      </c>
      <c r="F384">
        <v>635.24</v>
      </c>
      <c r="G384" t="s">
        <v>23</v>
      </c>
      <c r="H384" t="s">
        <v>35</v>
      </c>
      <c r="I384" t="s">
        <v>46</v>
      </c>
    </row>
    <row r="385" spans="1:9" x14ac:dyDescent="0.25">
      <c r="A385" s="2">
        <v>45536</v>
      </c>
      <c r="B385">
        <v>74</v>
      </c>
      <c r="C385">
        <v>18</v>
      </c>
      <c r="D385" s="3">
        <v>306.89999999999998</v>
      </c>
      <c r="E385">
        <v>3</v>
      </c>
      <c r="F385">
        <v>2254.16</v>
      </c>
      <c r="G385" t="s">
        <v>15</v>
      </c>
      <c r="H385" t="s">
        <v>38</v>
      </c>
      <c r="I385" t="s">
        <v>46</v>
      </c>
    </row>
    <row r="386" spans="1:9" x14ac:dyDescent="0.25">
      <c r="A386" s="2">
        <v>45536</v>
      </c>
      <c r="B386">
        <v>76</v>
      </c>
      <c r="C386">
        <v>18</v>
      </c>
      <c r="D386" s="3">
        <v>339.1</v>
      </c>
      <c r="E386">
        <v>8</v>
      </c>
      <c r="F386">
        <v>924.79</v>
      </c>
      <c r="G386" t="s">
        <v>18</v>
      </c>
      <c r="H386" t="s">
        <v>39</v>
      </c>
      <c r="I386" t="s">
        <v>45</v>
      </c>
    </row>
    <row r="387" spans="1:9" x14ac:dyDescent="0.25">
      <c r="A387" s="2">
        <v>45536</v>
      </c>
      <c r="B387">
        <v>81</v>
      </c>
      <c r="C387">
        <v>5</v>
      </c>
      <c r="D387" s="3">
        <v>153.5</v>
      </c>
      <c r="E387">
        <v>2</v>
      </c>
      <c r="F387">
        <v>1307.47</v>
      </c>
      <c r="G387" t="s">
        <v>24</v>
      </c>
      <c r="H387" t="s">
        <v>41</v>
      </c>
      <c r="I387" t="s">
        <v>46</v>
      </c>
    </row>
    <row r="388" spans="1:9" x14ac:dyDescent="0.25">
      <c r="A388" s="2">
        <v>45536</v>
      </c>
      <c r="B388">
        <v>72</v>
      </c>
      <c r="C388">
        <v>11</v>
      </c>
      <c r="D388" s="3">
        <v>459.86</v>
      </c>
      <c r="E388">
        <v>0</v>
      </c>
      <c r="F388">
        <v>1269.5999999999999</v>
      </c>
      <c r="G388" t="s">
        <v>28</v>
      </c>
      <c r="H388" t="s">
        <v>40</v>
      </c>
      <c r="I388" t="s">
        <v>45</v>
      </c>
    </row>
    <row r="389" spans="1:9" x14ac:dyDescent="0.25">
      <c r="A389" s="2">
        <v>45536</v>
      </c>
      <c r="B389">
        <v>21</v>
      </c>
      <c r="C389">
        <v>17</v>
      </c>
      <c r="D389" s="3">
        <v>533.41999999999996</v>
      </c>
      <c r="E389">
        <v>7</v>
      </c>
      <c r="F389">
        <v>3895.32</v>
      </c>
      <c r="G389" t="s">
        <v>26</v>
      </c>
      <c r="H389" t="s">
        <v>37</v>
      </c>
      <c r="I389" t="s">
        <v>45</v>
      </c>
    </row>
    <row r="390" spans="1:9" x14ac:dyDescent="0.25">
      <c r="A390" s="2">
        <v>45536</v>
      </c>
      <c r="B390">
        <v>86</v>
      </c>
      <c r="C390">
        <v>17</v>
      </c>
      <c r="D390" s="3">
        <v>160.88999999999999</v>
      </c>
      <c r="E390">
        <v>4</v>
      </c>
      <c r="F390">
        <v>418.33</v>
      </c>
      <c r="G390" t="s">
        <v>27</v>
      </c>
      <c r="H390" t="s">
        <v>36</v>
      </c>
      <c r="I390" t="s">
        <v>46</v>
      </c>
    </row>
    <row r="391" spans="1:9" x14ac:dyDescent="0.25">
      <c r="A391" s="2">
        <v>45536</v>
      </c>
      <c r="B391">
        <v>69</v>
      </c>
      <c r="C391">
        <v>7</v>
      </c>
      <c r="D391" s="3">
        <v>549.77</v>
      </c>
      <c r="E391">
        <v>2</v>
      </c>
      <c r="F391">
        <v>3916.58</v>
      </c>
      <c r="G391" t="s">
        <v>14</v>
      </c>
      <c r="H391" t="s">
        <v>41</v>
      </c>
      <c r="I391" t="s">
        <v>45</v>
      </c>
    </row>
    <row r="392" spans="1:9" x14ac:dyDescent="0.25">
      <c r="A392" s="2">
        <v>45536</v>
      </c>
      <c r="B392">
        <v>18</v>
      </c>
      <c r="C392">
        <v>13</v>
      </c>
      <c r="D392" s="3">
        <v>290.14</v>
      </c>
      <c r="E392">
        <v>2</v>
      </c>
      <c r="F392">
        <v>1444.65</v>
      </c>
      <c r="G392" t="s">
        <v>29</v>
      </c>
      <c r="H392" t="s">
        <v>44</v>
      </c>
      <c r="I392" t="s">
        <v>46</v>
      </c>
    </row>
    <row r="393" spans="1:9" x14ac:dyDescent="0.25">
      <c r="A393" s="2">
        <v>45536</v>
      </c>
      <c r="B393">
        <v>105</v>
      </c>
      <c r="C393">
        <v>7</v>
      </c>
      <c r="D393" s="3">
        <v>587.83000000000004</v>
      </c>
      <c r="E393">
        <v>1</v>
      </c>
      <c r="F393">
        <v>3601.93</v>
      </c>
      <c r="G393" t="s">
        <v>30</v>
      </c>
      <c r="H393" t="s">
        <v>39</v>
      </c>
      <c r="I393" t="s">
        <v>45</v>
      </c>
    </row>
    <row r="394" spans="1:9" x14ac:dyDescent="0.25">
      <c r="A394" s="2">
        <v>45536</v>
      </c>
      <c r="B394">
        <v>75</v>
      </c>
      <c r="C394">
        <v>8</v>
      </c>
      <c r="D394" s="3">
        <v>177.88</v>
      </c>
      <c r="E394">
        <v>7</v>
      </c>
      <c r="F394">
        <v>507.1</v>
      </c>
      <c r="G394" t="s">
        <v>31</v>
      </c>
      <c r="H394" t="s">
        <v>44</v>
      </c>
      <c r="I394" t="s">
        <v>45</v>
      </c>
    </row>
    <row r="395" spans="1:9" x14ac:dyDescent="0.25">
      <c r="A395" s="2">
        <v>45536</v>
      </c>
      <c r="B395">
        <v>98</v>
      </c>
      <c r="C395">
        <v>12</v>
      </c>
      <c r="D395" s="3">
        <v>406.95</v>
      </c>
      <c r="E395">
        <v>0</v>
      </c>
      <c r="F395">
        <v>2978.09</v>
      </c>
      <c r="G395" t="s">
        <v>32</v>
      </c>
      <c r="H395" t="s">
        <v>38</v>
      </c>
      <c r="I395" t="s">
        <v>45</v>
      </c>
    </row>
    <row r="396" spans="1:9" x14ac:dyDescent="0.25">
      <c r="A396" s="2">
        <v>45536</v>
      </c>
      <c r="B396">
        <v>33</v>
      </c>
      <c r="C396">
        <v>13</v>
      </c>
      <c r="D396" s="3">
        <v>517.1</v>
      </c>
      <c r="E396">
        <v>4</v>
      </c>
      <c r="F396">
        <v>250.08</v>
      </c>
      <c r="G396" t="s">
        <v>33</v>
      </c>
      <c r="H396" t="s">
        <v>43</v>
      </c>
      <c r="I396" t="s">
        <v>45</v>
      </c>
    </row>
    <row r="397" spans="1:9" x14ac:dyDescent="0.25">
      <c r="A397" s="2">
        <v>45536</v>
      </c>
      <c r="B397">
        <v>35</v>
      </c>
      <c r="C397">
        <v>18</v>
      </c>
      <c r="D397" s="3">
        <v>348.92</v>
      </c>
      <c r="E397">
        <v>7</v>
      </c>
      <c r="F397">
        <v>4381.3900000000003</v>
      </c>
      <c r="G397" t="s">
        <v>34</v>
      </c>
      <c r="H397" t="s">
        <v>36</v>
      </c>
      <c r="I397" t="s">
        <v>45</v>
      </c>
    </row>
    <row r="398" spans="1:9" x14ac:dyDescent="0.25">
      <c r="A398" s="2">
        <v>45536</v>
      </c>
      <c r="B398">
        <v>93</v>
      </c>
      <c r="C398">
        <v>5</v>
      </c>
      <c r="D398" s="3">
        <v>77.12</v>
      </c>
      <c r="E398">
        <v>2</v>
      </c>
      <c r="F398">
        <v>3483.91</v>
      </c>
      <c r="G398" t="s">
        <v>25</v>
      </c>
      <c r="H398" t="s">
        <v>39</v>
      </c>
      <c r="I398" t="s">
        <v>45</v>
      </c>
    </row>
    <row r="399" spans="1:9" x14ac:dyDescent="0.25">
      <c r="A399" s="2">
        <v>45536</v>
      </c>
      <c r="B399">
        <v>77</v>
      </c>
      <c r="C399">
        <v>11</v>
      </c>
      <c r="D399" s="3">
        <v>487.47</v>
      </c>
      <c r="E399">
        <v>4</v>
      </c>
      <c r="F399">
        <v>990.89</v>
      </c>
      <c r="G399" t="s">
        <v>13</v>
      </c>
      <c r="H399" t="s">
        <v>40</v>
      </c>
      <c r="I399" t="s">
        <v>46</v>
      </c>
    </row>
    <row r="400" spans="1:9" x14ac:dyDescent="0.25">
      <c r="A400" s="2">
        <v>45536</v>
      </c>
      <c r="B400">
        <v>24</v>
      </c>
      <c r="C400">
        <v>7</v>
      </c>
      <c r="D400" s="3">
        <v>79.62</v>
      </c>
      <c r="E400">
        <v>4</v>
      </c>
      <c r="F400">
        <v>1650.69</v>
      </c>
      <c r="G400" t="s">
        <v>12</v>
      </c>
      <c r="H400" t="s">
        <v>37</v>
      </c>
      <c r="I400" t="s">
        <v>46</v>
      </c>
    </row>
    <row r="401" spans="1:9" x14ac:dyDescent="0.25">
      <c r="A401" s="2">
        <v>45536</v>
      </c>
      <c r="B401">
        <v>79</v>
      </c>
      <c r="C401">
        <v>9</v>
      </c>
      <c r="D401" s="3">
        <v>358.67</v>
      </c>
      <c r="E401">
        <v>5</v>
      </c>
      <c r="F401">
        <v>3658.64</v>
      </c>
      <c r="G401" t="s">
        <v>10</v>
      </c>
      <c r="H401" t="s">
        <v>40</v>
      </c>
      <c r="I401" t="s">
        <v>45</v>
      </c>
    </row>
    <row r="402" spans="1:9" x14ac:dyDescent="0.25">
      <c r="A402" s="2">
        <v>45536</v>
      </c>
      <c r="B402">
        <v>51</v>
      </c>
      <c r="C402">
        <v>15</v>
      </c>
      <c r="D402" s="3">
        <v>349.71</v>
      </c>
      <c r="E402">
        <v>8</v>
      </c>
      <c r="F402">
        <v>4017.54</v>
      </c>
      <c r="G402" t="s">
        <v>9</v>
      </c>
      <c r="H402" t="s">
        <v>37</v>
      </c>
      <c r="I402" t="s">
        <v>46</v>
      </c>
    </row>
    <row r="403" spans="1:9" x14ac:dyDescent="0.25">
      <c r="A403" s="2">
        <v>45536</v>
      </c>
      <c r="B403">
        <v>57</v>
      </c>
      <c r="C403">
        <v>18</v>
      </c>
      <c r="D403" s="3">
        <v>403.41</v>
      </c>
      <c r="E403">
        <v>3</v>
      </c>
      <c r="F403">
        <v>3767.63</v>
      </c>
      <c r="G403" t="s">
        <v>11</v>
      </c>
      <c r="H403" t="s">
        <v>41</v>
      </c>
      <c r="I403" t="s">
        <v>46</v>
      </c>
    </row>
    <row r="404" spans="1:9" x14ac:dyDescent="0.25">
      <c r="A404" s="2">
        <v>45537</v>
      </c>
      <c r="B404">
        <v>71</v>
      </c>
      <c r="C404">
        <v>67</v>
      </c>
      <c r="D404" s="3">
        <v>318.73746101186453</v>
      </c>
      <c r="E404">
        <v>11</v>
      </c>
      <c r="F404">
        <v>1312.589053073001</v>
      </c>
      <c r="G404" t="s">
        <v>48</v>
      </c>
      <c r="H404" t="s">
        <v>40</v>
      </c>
      <c r="I404" t="s">
        <v>46</v>
      </c>
    </row>
    <row r="405" spans="1:9" x14ac:dyDescent="0.25">
      <c r="A405" s="2">
        <v>45538</v>
      </c>
      <c r="B405">
        <v>77</v>
      </c>
      <c r="C405">
        <v>10</v>
      </c>
      <c r="D405" s="3">
        <v>552.07934724687425</v>
      </c>
      <c r="E405">
        <v>1</v>
      </c>
      <c r="F405">
        <v>3055.753537486833</v>
      </c>
      <c r="G405" t="s">
        <v>48</v>
      </c>
      <c r="H405" t="s">
        <v>44</v>
      </c>
      <c r="I405" t="s">
        <v>46</v>
      </c>
    </row>
    <row r="406" spans="1:9" x14ac:dyDescent="0.25">
      <c r="A406" s="2">
        <v>45539</v>
      </c>
      <c r="B406">
        <v>51</v>
      </c>
      <c r="C406">
        <v>43</v>
      </c>
      <c r="D406" s="3">
        <v>274.12773351165009</v>
      </c>
      <c r="E406">
        <v>26</v>
      </c>
      <c r="F406">
        <v>4619.6973391461879</v>
      </c>
      <c r="G406" t="s">
        <v>10</v>
      </c>
      <c r="H406" t="s">
        <v>42</v>
      </c>
      <c r="I406" t="s">
        <v>45</v>
      </c>
    </row>
    <row r="407" spans="1:9" x14ac:dyDescent="0.25">
      <c r="A407" s="2">
        <v>45540</v>
      </c>
      <c r="B407">
        <v>91</v>
      </c>
      <c r="C407">
        <v>57</v>
      </c>
      <c r="D407" s="3">
        <v>356.99474457990539</v>
      </c>
      <c r="E407">
        <v>30</v>
      </c>
      <c r="F407">
        <v>652.75690363609476</v>
      </c>
      <c r="G407" t="s">
        <v>48</v>
      </c>
      <c r="H407" t="s">
        <v>37</v>
      </c>
      <c r="I407" t="s">
        <v>46</v>
      </c>
    </row>
    <row r="408" spans="1:9" x14ac:dyDescent="0.25">
      <c r="A408" s="2">
        <v>45541</v>
      </c>
      <c r="B408">
        <v>94</v>
      </c>
      <c r="C408">
        <v>10</v>
      </c>
      <c r="D408" s="3">
        <v>491.82650637057162</v>
      </c>
      <c r="E408">
        <v>35</v>
      </c>
      <c r="F408">
        <v>3638.3912026107801</v>
      </c>
      <c r="G408" t="s">
        <v>49</v>
      </c>
      <c r="H408" t="s">
        <v>42</v>
      </c>
      <c r="I408" t="s">
        <v>46</v>
      </c>
    </row>
    <row r="409" spans="1:9" x14ac:dyDescent="0.25">
      <c r="A409" s="2">
        <v>45544</v>
      </c>
      <c r="B409">
        <v>55</v>
      </c>
      <c r="C409">
        <v>25</v>
      </c>
      <c r="D409" s="3">
        <v>298.27139116063512</v>
      </c>
      <c r="E409">
        <v>35</v>
      </c>
      <c r="F409">
        <v>1838.070533176478</v>
      </c>
      <c r="G409" t="s">
        <v>48</v>
      </c>
      <c r="H409" t="s">
        <v>37</v>
      </c>
      <c r="I409" t="s">
        <v>45</v>
      </c>
    </row>
    <row r="410" spans="1:9" x14ac:dyDescent="0.25">
      <c r="A410" s="2">
        <v>45545</v>
      </c>
      <c r="B410">
        <v>77</v>
      </c>
      <c r="C410">
        <v>70</v>
      </c>
      <c r="D410" s="3">
        <v>411.04335011393681</v>
      </c>
      <c r="E410">
        <v>25</v>
      </c>
      <c r="F410">
        <v>4659.7828791943866</v>
      </c>
      <c r="G410" t="s">
        <v>18</v>
      </c>
      <c r="H410" t="s">
        <v>38</v>
      </c>
      <c r="I410" t="s">
        <v>45</v>
      </c>
    </row>
    <row r="411" spans="1:9" x14ac:dyDescent="0.25">
      <c r="A411" s="2">
        <v>45546</v>
      </c>
      <c r="B411">
        <v>77</v>
      </c>
      <c r="C411">
        <v>73</v>
      </c>
      <c r="D411" s="3">
        <v>531.18185437337252</v>
      </c>
      <c r="E411">
        <v>26</v>
      </c>
      <c r="F411">
        <v>4869.7621032441548</v>
      </c>
      <c r="G411" t="s">
        <v>10</v>
      </c>
      <c r="H411" t="s">
        <v>43</v>
      </c>
      <c r="I411" t="s">
        <v>45</v>
      </c>
    </row>
    <row r="412" spans="1:9" x14ac:dyDescent="0.25">
      <c r="A412" s="2">
        <v>45547</v>
      </c>
      <c r="B412">
        <v>93</v>
      </c>
      <c r="C412">
        <v>72</v>
      </c>
      <c r="D412" s="3">
        <v>574.76031182882105</v>
      </c>
      <c r="E412">
        <v>4</v>
      </c>
      <c r="F412">
        <v>4749.1992010104523</v>
      </c>
      <c r="G412" t="s">
        <v>47</v>
      </c>
      <c r="H412" t="s">
        <v>38</v>
      </c>
      <c r="I412" t="s">
        <v>46</v>
      </c>
    </row>
    <row r="413" spans="1:9" x14ac:dyDescent="0.25">
      <c r="A413" s="2">
        <v>45548</v>
      </c>
      <c r="B413">
        <v>93</v>
      </c>
      <c r="C413">
        <v>78</v>
      </c>
      <c r="D413" s="3">
        <v>173.536740464519</v>
      </c>
      <c r="E413">
        <v>19</v>
      </c>
      <c r="F413">
        <v>2633.9639749585872</v>
      </c>
      <c r="G413" t="s">
        <v>48</v>
      </c>
      <c r="H413" t="s">
        <v>36</v>
      </c>
      <c r="I413" t="s">
        <v>45</v>
      </c>
    </row>
    <row r="414" spans="1:9" x14ac:dyDescent="0.25">
      <c r="A414" s="2">
        <v>45551</v>
      </c>
      <c r="B414">
        <v>69</v>
      </c>
      <c r="C414">
        <v>31</v>
      </c>
      <c r="D414" s="3">
        <v>563.29381258074727</v>
      </c>
      <c r="E414">
        <v>10</v>
      </c>
      <c r="F414">
        <v>4379.1919294519103</v>
      </c>
      <c r="G414" t="s">
        <v>34</v>
      </c>
      <c r="H414" t="s">
        <v>44</v>
      </c>
      <c r="I414" t="s">
        <v>46</v>
      </c>
    </row>
    <row r="415" spans="1:9" x14ac:dyDescent="0.25">
      <c r="A415" s="2">
        <v>45552</v>
      </c>
      <c r="B415">
        <v>79</v>
      </c>
      <c r="C415">
        <v>76</v>
      </c>
      <c r="D415" s="3">
        <v>346.0581465397691</v>
      </c>
      <c r="E415">
        <v>9</v>
      </c>
      <c r="F415">
        <v>4300.4722934078163</v>
      </c>
      <c r="G415" t="s">
        <v>47</v>
      </c>
      <c r="H415" t="s">
        <v>37</v>
      </c>
      <c r="I415" t="s">
        <v>46</v>
      </c>
    </row>
    <row r="416" spans="1:9" x14ac:dyDescent="0.25">
      <c r="A416" s="2">
        <v>45553</v>
      </c>
      <c r="B416">
        <v>60</v>
      </c>
      <c r="C416">
        <v>35</v>
      </c>
      <c r="D416" s="3">
        <v>229.12219414947921</v>
      </c>
      <c r="E416">
        <v>39</v>
      </c>
      <c r="F416">
        <v>1935.9521295946499</v>
      </c>
      <c r="G416" t="s">
        <v>49</v>
      </c>
      <c r="H416" t="s">
        <v>42</v>
      </c>
      <c r="I416" t="s">
        <v>45</v>
      </c>
    </row>
    <row r="417" spans="1:9" x14ac:dyDescent="0.25">
      <c r="A417" s="2">
        <v>45554</v>
      </c>
      <c r="B417">
        <v>77</v>
      </c>
      <c r="C417">
        <v>25</v>
      </c>
      <c r="D417" s="3">
        <v>329.56787811913068</v>
      </c>
      <c r="E417">
        <v>37</v>
      </c>
      <c r="F417">
        <v>4230.1196336780486</v>
      </c>
      <c r="G417" t="s">
        <v>34</v>
      </c>
      <c r="H417" t="s">
        <v>43</v>
      </c>
      <c r="I417" t="s">
        <v>45</v>
      </c>
    </row>
    <row r="418" spans="1:9" x14ac:dyDescent="0.25">
      <c r="A418" s="2">
        <v>45555</v>
      </c>
      <c r="B418">
        <v>74</v>
      </c>
      <c r="C418">
        <v>60</v>
      </c>
      <c r="D418" s="3">
        <v>590.01628764273846</v>
      </c>
      <c r="E418">
        <v>5</v>
      </c>
      <c r="F418">
        <v>666.53435621971676</v>
      </c>
      <c r="G418" t="s">
        <v>47</v>
      </c>
      <c r="H418" t="s">
        <v>37</v>
      </c>
      <c r="I418" t="s">
        <v>46</v>
      </c>
    </row>
    <row r="419" spans="1:9" x14ac:dyDescent="0.25">
      <c r="A419" s="2">
        <v>45558</v>
      </c>
      <c r="B419">
        <v>88</v>
      </c>
      <c r="C419">
        <v>66</v>
      </c>
      <c r="D419" s="3">
        <v>346.3090469964348</v>
      </c>
      <c r="E419">
        <v>7</v>
      </c>
      <c r="F419">
        <v>3183.2144531692388</v>
      </c>
      <c r="G419" t="s">
        <v>34</v>
      </c>
      <c r="H419" t="s">
        <v>42</v>
      </c>
      <c r="I419" t="s">
        <v>45</v>
      </c>
    </row>
    <row r="420" spans="1:9" x14ac:dyDescent="0.25">
      <c r="A420" s="2">
        <v>45559</v>
      </c>
      <c r="B420">
        <v>82</v>
      </c>
      <c r="C420">
        <v>38</v>
      </c>
      <c r="D420" s="3">
        <v>264.37580514375412</v>
      </c>
      <c r="E420">
        <v>22</v>
      </c>
      <c r="F420">
        <v>1535.0397677946639</v>
      </c>
      <c r="G420" t="s">
        <v>49</v>
      </c>
      <c r="H420" t="s">
        <v>44</v>
      </c>
      <c r="I420" t="s">
        <v>46</v>
      </c>
    </row>
    <row r="421" spans="1:9" x14ac:dyDescent="0.25">
      <c r="A421" s="2">
        <v>45560</v>
      </c>
      <c r="B421">
        <v>50</v>
      </c>
      <c r="C421">
        <v>78</v>
      </c>
      <c r="D421" s="3">
        <v>416.70042715836291</v>
      </c>
      <c r="E421">
        <v>25</v>
      </c>
      <c r="F421">
        <v>1042.5509859977551</v>
      </c>
      <c r="G421" t="s">
        <v>10</v>
      </c>
      <c r="H421" t="s">
        <v>38</v>
      </c>
      <c r="I421" t="s">
        <v>45</v>
      </c>
    </row>
    <row r="422" spans="1:9" x14ac:dyDescent="0.25">
      <c r="A422" s="2">
        <v>45561</v>
      </c>
      <c r="B422">
        <v>76</v>
      </c>
      <c r="C422">
        <v>56</v>
      </c>
      <c r="D422" s="3">
        <v>220.07280938909651</v>
      </c>
      <c r="E422">
        <v>11</v>
      </c>
      <c r="F422">
        <v>846.28940733144123</v>
      </c>
      <c r="G422" t="s">
        <v>18</v>
      </c>
      <c r="H422" t="s">
        <v>44</v>
      </c>
      <c r="I422" t="s">
        <v>45</v>
      </c>
    </row>
    <row r="423" spans="1:9" x14ac:dyDescent="0.25">
      <c r="A423" s="2">
        <v>45562</v>
      </c>
      <c r="B423">
        <v>62</v>
      </c>
      <c r="C423">
        <v>71</v>
      </c>
      <c r="D423" s="3">
        <v>137.931664054332</v>
      </c>
      <c r="E423">
        <v>25</v>
      </c>
      <c r="F423">
        <v>3633.2994914516289</v>
      </c>
      <c r="G423" t="s">
        <v>49</v>
      </c>
      <c r="H423" t="s">
        <v>35</v>
      </c>
      <c r="I423" t="s">
        <v>45</v>
      </c>
    </row>
    <row r="424" spans="1:9" x14ac:dyDescent="0.25">
      <c r="A424" s="2">
        <v>45565</v>
      </c>
      <c r="B424">
        <v>90</v>
      </c>
      <c r="C424">
        <v>78</v>
      </c>
      <c r="D424" s="3">
        <v>164.4398609553246</v>
      </c>
      <c r="E424">
        <v>12</v>
      </c>
      <c r="F424">
        <v>2029.4373369562979</v>
      </c>
      <c r="G424" t="s">
        <v>49</v>
      </c>
      <c r="H424" t="s">
        <v>36</v>
      </c>
      <c r="I424" t="s">
        <v>46</v>
      </c>
    </row>
    <row r="425" spans="1:9" x14ac:dyDescent="0.25">
      <c r="A425" s="2">
        <v>45566</v>
      </c>
      <c r="B425">
        <v>32</v>
      </c>
      <c r="C425">
        <v>16</v>
      </c>
      <c r="D425" s="3">
        <v>393.04</v>
      </c>
      <c r="E425">
        <v>7</v>
      </c>
      <c r="F425">
        <v>1286.18</v>
      </c>
      <c r="G425" t="s">
        <v>17</v>
      </c>
      <c r="H425" t="s">
        <v>37</v>
      </c>
      <c r="I425" t="s">
        <v>46</v>
      </c>
    </row>
    <row r="426" spans="1:9" x14ac:dyDescent="0.25">
      <c r="A426" s="2">
        <v>45566</v>
      </c>
      <c r="B426">
        <v>51</v>
      </c>
      <c r="C426">
        <v>7</v>
      </c>
      <c r="D426" s="3">
        <v>248.37</v>
      </c>
      <c r="E426">
        <v>7</v>
      </c>
      <c r="F426">
        <v>3946.23</v>
      </c>
      <c r="G426" t="s">
        <v>16</v>
      </c>
      <c r="H426" t="s">
        <v>44</v>
      </c>
      <c r="I426" t="s">
        <v>45</v>
      </c>
    </row>
    <row r="427" spans="1:9" x14ac:dyDescent="0.25">
      <c r="A427" s="2">
        <v>45566</v>
      </c>
      <c r="B427">
        <v>70</v>
      </c>
      <c r="C427">
        <v>21</v>
      </c>
      <c r="D427" s="3">
        <v>319.62</v>
      </c>
      <c r="E427">
        <v>3</v>
      </c>
      <c r="F427">
        <v>2486.2199999999998</v>
      </c>
      <c r="G427" t="s">
        <v>15</v>
      </c>
      <c r="H427" t="s">
        <v>37</v>
      </c>
      <c r="I427" t="s">
        <v>46</v>
      </c>
    </row>
    <row r="428" spans="1:9" x14ac:dyDescent="0.25">
      <c r="A428" s="2">
        <v>45566</v>
      </c>
      <c r="B428">
        <v>62</v>
      </c>
      <c r="C428">
        <v>8</v>
      </c>
      <c r="D428" s="3">
        <v>540.79999999999995</v>
      </c>
      <c r="E428">
        <v>3</v>
      </c>
      <c r="F428">
        <v>3928.71</v>
      </c>
      <c r="G428" t="s">
        <v>14</v>
      </c>
      <c r="H428" t="s">
        <v>36</v>
      </c>
      <c r="I428" t="s">
        <v>45</v>
      </c>
    </row>
    <row r="429" spans="1:9" x14ac:dyDescent="0.25">
      <c r="A429" s="2">
        <v>45566</v>
      </c>
      <c r="B429">
        <v>71</v>
      </c>
      <c r="C429">
        <v>16</v>
      </c>
      <c r="D429" s="3">
        <v>323.56</v>
      </c>
      <c r="E429">
        <v>9</v>
      </c>
      <c r="F429">
        <v>957.05</v>
      </c>
      <c r="G429" t="s">
        <v>18</v>
      </c>
      <c r="H429" t="s">
        <v>43</v>
      </c>
      <c r="I429" t="s">
        <v>45</v>
      </c>
    </row>
    <row r="430" spans="1:9" x14ac:dyDescent="0.25">
      <c r="A430" s="2">
        <v>45566</v>
      </c>
      <c r="B430">
        <v>22</v>
      </c>
      <c r="C430">
        <v>7</v>
      </c>
      <c r="D430" s="3">
        <v>74.680000000000007</v>
      </c>
      <c r="E430">
        <v>4</v>
      </c>
      <c r="F430">
        <v>1543.72</v>
      </c>
      <c r="G430" t="s">
        <v>12</v>
      </c>
      <c r="H430" t="s">
        <v>36</v>
      </c>
      <c r="I430" t="s">
        <v>46</v>
      </c>
    </row>
    <row r="431" spans="1:9" x14ac:dyDescent="0.25">
      <c r="A431" s="2">
        <v>45566</v>
      </c>
      <c r="B431">
        <v>58</v>
      </c>
      <c r="C431">
        <v>13</v>
      </c>
      <c r="D431" s="3">
        <v>368.06</v>
      </c>
      <c r="E431">
        <v>2</v>
      </c>
      <c r="F431">
        <v>3626.22</v>
      </c>
      <c r="G431" t="s">
        <v>11</v>
      </c>
      <c r="H431" t="s">
        <v>43</v>
      </c>
      <c r="I431" t="s">
        <v>45</v>
      </c>
    </row>
    <row r="432" spans="1:9" x14ac:dyDescent="0.25">
      <c r="A432" s="2">
        <v>45566</v>
      </c>
      <c r="B432">
        <v>74</v>
      </c>
      <c r="C432">
        <v>16</v>
      </c>
      <c r="D432" s="3">
        <v>308.51</v>
      </c>
      <c r="E432">
        <v>7</v>
      </c>
      <c r="F432">
        <v>4267.5</v>
      </c>
      <c r="G432" t="s">
        <v>9</v>
      </c>
      <c r="H432" t="s">
        <v>39</v>
      </c>
      <c r="I432" t="s">
        <v>45</v>
      </c>
    </row>
    <row r="433" spans="1:9" x14ac:dyDescent="0.25">
      <c r="A433" s="2">
        <v>45566</v>
      </c>
      <c r="B433">
        <v>74</v>
      </c>
      <c r="C433">
        <v>15</v>
      </c>
      <c r="D433" s="3">
        <v>460.2</v>
      </c>
      <c r="E433">
        <v>4</v>
      </c>
      <c r="F433">
        <v>980.1</v>
      </c>
      <c r="G433" t="s">
        <v>13</v>
      </c>
      <c r="H433" t="s">
        <v>40</v>
      </c>
      <c r="I433" t="s">
        <v>45</v>
      </c>
    </row>
    <row r="434" spans="1:9" x14ac:dyDescent="0.25">
      <c r="A434" s="2">
        <v>45566</v>
      </c>
      <c r="B434">
        <v>17</v>
      </c>
      <c r="C434">
        <v>7</v>
      </c>
      <c r="D434" s="3">
        <v>205.3</v>
      </c>
      <c r="E434">
        <v>4</v>
      </c>
      <c r="F434">
        <v>762.2</v>
      </c>
      <c r="G434" t="s">
        <v>19</v>
      </c>
      <c r="H434" t="s">
        <v>40</v>
      </c>
      <c r="I434" t="s">
        <v>46</v>
      </c>
    </row>
    <row r="435" spans="1:9" x14ac:dyDescent="0.25">
      <c r="A435" s="2">
        <v>45566</v>
      </c>
      <c r="B435">
        <v>34</v>
      </c>
      <c r="C435">
        <v>12</v>
      </c>
      <c r="D435" s="3">
        <v>356.4</v>
      </c>
      <c r="E435">
        <v>8</v>
      </c>
      <c r="F435">
        <v>4111.76</v>
      </c>
      <c r="G435" t="s">
        <v>34</v>
      </c>
      <c r="H435" t="s">
        <v>38</v>
      </c>
      <c r="I435" t="s">
        <v>46</v>
      </c>
    </row>
    <row r="436" spans="1:9" x14ac:dyDescent="0.25">
      <c r="A436" s="2">
        <v>45566</v>
      </c>
      <c r="B436">
        <v>73</v>
      </c>
      <c r="C436">
        <v>17</v>
      </c>
      <c r="D436" s="3">
        <v>557.29999999999995</v>
      </c>
      <c r="E436">
        <v>3</v>
      </c>
      <c r="F436">
        <v>376.66</v>
      </c>
      <c r="G436" t="s">
        <v>21</v>
      </c>
      <c r="H436" t="s">
        <v>36</v>
      </c>
      <c r="I436" t="s">
        <v>46</v>
      </c>
    </row>
    <row r="437" spans="1:9" x14ac:dyDescent="0.25">
      <c r="A437" s="2">
        <v>45566</v>
      </c>
      <c r="B437">
        <v>35</v>
      </c>
      <c r="C437">
        <v>6</v>
      </c>
      <c r="D437" s="3">
        <v>544.78</v>
      </c>
      <c r="E437">
        <v>5</v>
      </c>
      <c r="F437">
        <v>3420.99</v>
      </c>
      <c r="G437" t="s">
        <v>20</v>
      </c>
      <c r="H437" t="s">
        <v>43</v>
      </c>
      <c r="I437" t="s">
        <v>46</v>
      </c>
    </row>
    <row r="438" spans="1:9" x14ac:dyDescent="0.25">
      <c r="A438" s="2">
        <v>45566</v>
      </c>
      <c r="B438">
        <v>36</v>
      </c>
      <c r="C438">
        <v>10</v>
      </c>
      <c r="D438" s="3">
        <v>535.44000000000005</v>
      </c>
      <c r="E438">
        <v>4</v>
      </c>
      <c r="F438">
        <v>241.26</v>
      </c>
      <c r="G438" t="s">
        <v>33</v>
      </c>
      <c r="H438" t="s">
        <v>35</v>
      </c>
      <c r="I438" t="s">
        <v>45</v>
      </c>
    </row>
    <row r="439" spans="1:9" x14ac:dyDescent="0.25">
      <c r="A439" s="2">
        <v>45566</v>
      </c>
      <c r="B439">
        <v>85</v>
      </c>
      <c r="C439">
        <v>15</v>
      </c>
      <c r="D439" s="3">
        <v>400.65</v>
      </c>
      <c r="E439">
        <v>0</v>
      </c>
      <c r="F439">
        <v>2890.62</v>
      </c>
      <c r="G439" t="s">
        <v>32</v>
      </c>
      <c r="H439" t="s">
        <v>42</v>
      </c>
      <c r="I439" t="s">
        <v>45</v>
      </c>
    </row>
    <row r="440" spans="1:9" x14ac:dyDescent="0.25">
      <c r="A440" s="2">
        <v>45566</v>
      </c>
      <c r="B440">
        <v>63</v>
      </c>
      <c r="C440">
        <v>10</v>
      </c>
      <c r="D440" s="3">
        <v>194.21</v>
      </c>
      <c r="E440">
        <v>7</v>
      </c>
      <c r="F440">
        <v>508.84</v>
      </c>
      <c r="G440" t="s">
        <v>31</v>
      </c>
      <c r="H440" t="s">
        <v>43</v>
      </c>
      <c r="I440" t="s">
        <v>45</v>
      </c>
    </row>
    <row r="441" spans="1:9" x14ac:dyDescent="0.25">
      <c r="A441" s="2">
        <v>45566</v>
      </c>
      <c r="B441">
        <v>108</v>
      </c>
      <c r="C441">
        <v>6</v>
      </c>
      <c r="D441" s="3">
        <v>515.27</v>
      </c>
      <c r="E441">
        <v>2</v>
      </c>
      <c r="F441">
        <v>3183.87</v>
      </c>
      <c r="G441" t="s">
        <v>30</v>
      </c>
      <c r="H441" t="s">
        <v>41</v>
      </c>
      <c r="I441" t="s">
        <v>46</v>
      </c>
    </row>
    <row r="442" spans="1:9" x14ac:dyDescent="0.25">
      <c r="A442" s="2">
        <v>45566</v>
      </c>
      <c r="B442">
        <v>21</v>
      </c>
      <c r="C442">
        <v>15</v>
      </c>
      <c r="D442" s="3">
        <v>309.75</v>
      </c>
      <c r="E442">
        <v>2</v>
      </c>
      <c r="F442">
        <v>1649.09</v>
      </c>
      <c r="G442" t="s">
        <v>29</v>
      </c>
      <c r="H442" t="s">
        <v>43</v>
      </c>
      <c r="I442" t="s">
        <v>45</v>
      </c>
    </row>
    <row r="443" spans="1:9" x14ac:dyDescent="0.25">
      <c r="A443" s="2">
        <v>45566</v>
      </c>
      <c r="B443">
        <v>72</v>
      </c>
      <c r="C443">
        <v>10</v>
      </c>
      <c r="D443" s="3">
        <v>362.58</v>
      </c>
      <c r="E443">
        <v>5</v>
      </c>
      <c r="F443">
        <v>3679.65</v>
      </c>
      <c r="G443" t="s">
        <v>10</v>
      </c>
      <c r="H443" t="s">
        <v>39</v>
      </c>
      <c r="I443" t="s">
        <v>45</v>
      </c>
    </row>
    <row r="444" spans="1:9" x14ac:dyDescent="0.25">
      <c r="A444" s="2">
        <v>45566</v>
      </c>
      <c r="B444">
        <v>104</v>
      </c>
      <c r="C444">
        <v>20</v>
      </c>
      <c r="D444" s="3">
        <v>181.9</v>
      </c>
      <c r="E444">
        <v>4</v>
      </c>
      <c r="F444">
        <v>400.92</v>
      </c>
      <c r="G444" t="s">
        <v>27</v>
      </c>
      <c r="H444" t="s">
        <v>40</v>
      </c>
      <c r="I444" t="s">
        <v>46</v>
      </c>
    </row>
    <row r="445" spans="1:9" x14ac:dyDescent="0.25">
      <c r="A445" s="2">
        <v>45566</v>
      </c>
      <c r="B445">
        <v>21</v>
      </c>
      <c r="C445">
        <v>14</v>
      </c>
      <c r="D445" s="3">
        <v>537.36</v>
      </c>
      <c r="E445">
        <v>7</v>
      </c>
      <c r="F445">
        <v>3767.78</v>
      </c>
      <c r="G445" t="s">
        <v>26</v>
      </c>
      <c r="H445" t="s">
        <v>39</v>
      </c>
      <c r="I445" t="s">
        <v>46</v>
      </c>
    </row>
    <row r="446" spans="1:9" x14ac:dyDescent="0.25">
      <c r="A446" s="2">
        <v>45566</v>
      </c>
      <c r="B446">
        <v>102</v>
      </c>
      <c r="C446">
        <v>5</v>
      </c>
      <c r="D446" s="3">
        <v>86.37</v>
      </c>
      <c r="E446">
        <v>5</v>
      </c>
      <c r="F446">
        <v>3851.19</v>
      </c>
      <c r="G446" t="s">
        <v>25</v>
      </c>
      <c r="H446" t="s">
        <v>41</v>
      </c>
      <c r="I446" t="s">
        <v>46</v>
      </c>
    </row>
    <row r="447" spans="1:9" x14ac:dyDescent="0.25">
      <c r="A447" s="2">
        <v>45566</v>
      </c>
      <c r="B447">
        <v>106</v>
      </c>
      <c r="C447">
        <v>5</v>
      </c>
      <c r="D447" s="3">
        <v>163.38</v>
      </c>
      <c r="E447">
        <v>1</v>
      </c>
      <c r="F447">
        <v>1148.1400000000001</v>
      </c>
      <c r="G447" t="s">
        <v>24</v>
      </c>
      <c r="H447" t="s">
        <v>42</v>
      </c>
      <c r="I447" t="s">
        <v>46</v>
      </c>
    </row>
    <row r="448" spans="1:9" x14ac:dyDescent="0.25">
      <c r="A448" s="2">
        <v>45566</v>
      </c>
      <c r="B448">
        <v>49</v>
      </c>
      <c r="C448">
        <v>7</v>
      </c>
      <c r="D448" s="3">
        <v>204.14</v>
      </c>
      <c r="E448">
        <v>3</v>
      </c>
      <c r="F448">
        <v>636.65</v>
      </c>
      <c r="G448" t="s">
        <v>23</v>
      </c>
      <c r="H448" t="s">
        <v>38</v>
      </c>
      <c r="I448" t="s">
        <v>45</v>
      </c>
    </row>
    <row r="449" spans="1:9" x14ac:dyDescent="0.25">
      <c r="A449" s="2">
        <v>45566</v>
      </c>
      <c r="B449">
        <v>64</v>
      </c>
      <c r="C449">
        <v>15</v>
      </c>
      <c r="D449" s="3">
        <v>514.38</v>
      </c>
      <c r="E449">
        <v>0</v>
      </c>
      <c r="F449">
        <v>1220.5899999999999</v>
      </c>
      <c r="G449" t="s">
        <v>28</v>
      </c>
      <c r="H449" t="s">
        <v>39</v>
      </c>
      <c r="I449" t="s">
        <v>45</v>
      </c>
    </row>
    <row r="450" spans="1:9" x14ac:dyDescent="0.25">
      <c r="A450" s="2">
        <v>45566</v>
      </c>
      <c r="B450">
        <v>27</v>
      </c>
      <c r="C450">
        <v>6</v>
      </c>
      <c r="D450" s="3">
        <v>202.37</v>
      </c>
      <c r="E450">
        <v>1</v>
      </c>
      <c r="F450">
        <v>3781.81</v>
      </c>
      <c r="G450" t="s">
        <v>22</v>
      </c>
      <c r="H450" t="s">
        <v>44</v>
      </c>
      <c r="I450" t="s">
        <v>45</v>
      </c>
    </row>
    <row r="451" spans="1:9" x14ac:dyDescent="0.25">
      <c r="A451" s="2">
        <v>45567</v>
      </c>
      <c r="B451">
        <v>52</v>
      </c>
      <c r="C451">
        <v>25</v>
      </c>
      <c r="D451" s="3">
        <v>164.02291947888619</v>
      </c>
      <c r="E451">
        <v>39</v>
      </c>
      <c r="F451">
        <v>3761.450471879426</v>
      </c>
      <c r="G451" t="s">
        <v>34</v>
      </c>
      <c r="H451" t="s">
        <v>35</v>
      </c>
      <c r="I451" t="s">
        <v>45</v>
      </c>
    </row>
    <row r="452" spans="1:9" x14ac:dyDescent="0.25">
      <c r="A452" s="2">
        <v>45568</v>
      </c>
      <c r="B452">
        <v>88</v>
      </c>
      <c r="C452">
        <v>57</v>
      </c>
      <c r="D452" s="3">
        <v>175.95134675614719</v>
      </c>
      <c r="E452">
        <v>17</v>
      </c>
      <c r="F452">
        <v>794.10353359524061</v>
      </c>
      <c r="G452" t="s">
        <v>10</v>
      </c>
      <c r="H452" t="s">
        <v>43</v>
      </c>
      <c r="I452" t="s">
        <v>46</v>
      </c>
    </row>
    <row r="453" spans="1:9" x14ac:dyDescent="0.25">
      <c r="A453" s="2">
        <v>45569</v>
      </c>
      <c r="B453">
        <v>55</v>
      </c>
      <c r="C453">
        <v>48</v>
      </c>
      <c r="D453" s="3">
        <v>169.41358632470511</v>
      </c>
      <c r="E453">
        <v>24</v>
      </c>
      <c r="F453">
        <v>1918.806520237747</v>
      </c>
      <c r="G453" t="s">
        <v>12</v>
      </c>
      <c r="H453" t="s">
        <v>37</v>
      </c>
      <c r="I453" t="s">
        <v>46</v>
      </c>
    </row>
    <row r="454" spans="1:9" x14ac:dyDescent="0.25">
      <c r="A454" s="2">
        <v>45572</v>
      </c>
      <c r="B454">
        <v>57</v>
      </c>
      <c r="C454">
        <v>42</v>
      </c>
      <c r="D454" s="3">
        <v>420.43737240160732</v>
      </c>
      <c r="E454">
        <v>32</v>
      </c>
      <c r="F454">
        <v>2927.7108156890181</v>
      </c>
      <c r="G454" t="s">
        <v>9</v>
      </c>
      <c r="H454" t="s">
        <v>43</v>
      </c>
      <c r="I454" t="s">
        <v>46</v>
      </c>
    </row>
    <row r="455" spans="1:9" x14ac:dyDescent="0.25">
      <c r="A455" s="2">
        <v>45573</v>
      </c>
      <c r="B455">
        <v>76</v>
      </c>
      <c r="C455">
        <v>32</v>
      </c>
      <c r="D455" s="3">
        <v>190.94004219957239</v>
      </c>
      <c r="E455">
        <v>39</v>
      </c>
      <c r="F455">
        <v>4058.2542417753361</v>
      </c>
      <c r="G455" t="s">
        <v>48</v>
      </c>
      <c r="H455" t="s">
        <v>38</v>
      </c>
      <c r="I455" t="s">
        <v>46</v>
      </c>
    </row>
    <row r="456" spans="1:9" x14ac:dyDescent="0.25">
      <c r="A456" s="2">
        <v>45574</v>
      </c>
      <c r="B456">
        <v>58</v>
      </c>
      <c r="C456">
        <v>19</v>
      </c>
      <c r="D456" s="3">
        <v>272.83364166193161</v>
      </c>
      <c r="E456">
        <v>11</v>
      </c>
      <c r="F456">
        <v>1934.386263194315</v>
      </c>
      <c r="G456" t="s">
        <v>48</v>
      </c>
      <c r="H456" t="s">
        <v>42</v>
      </c>
      <c r="I456" t="s">
        <v>45</v>
      </c>
    </row>
    <row r="457" spans="1:9" x14ac:dyDescent="0.25">
      <c r="A457" s="2">
        <v>45575</v>
      </c>
      <c r="B457">
        <v>86</v>
      </c>
      <c r="C457">
        <v>78</v>
      </c>
      <c r="D457" s="3">
        <v>548.3942049530059</v>
      </c>
      <c r="E457">
        <v>35</v>
      </c>
      <c r="F457">
        <v>3316.5111939665412</v>
      </c>
      <c r="G457" t="s">
        <v>18</v>
      </c>
      <c r="H457" t="s">
        <v>44</v>
      </c>
      <c r="I457" t="s">
        <v>46</v>
      </c>
    </row>
    <row r="458" spans="1:9" x14ac:dyDescent="0.25">
      <c r="A458" s="2">
        <v>45576</v>
      </c>
      <c r="B458">
        <v>82</v>
      </c>
      <c r="C458">
        <v>43</v>
      </c>
      <c r="D458" s="3">
        <v>336.98082013143619</v>
      </c>
      <c r="E458">
        <v>3</v>
      </c>
      <c r="F458">
        <v>4486.8998670628434</v>
      </c>
      <c r="G458" t="s">
        <v>18</v>
      </c>
      <c r="H458" t="s">
        <v>35</v>
      </c>
      <c r="I458" t="s">
        <v>46</v>
      </c>
    </row>
    <row r="459" spans="1:9" x14ac:dyDescent="0.25">
      <c r="A459" s="2">
        <v>45579</v>
      </c>
      <c r="B459">
        <v>91</v>
      </c>
      <c r="C459">
        <v>61</v>
      </c>
      <c r="D459" s="3">
        <v>433.7788692605136</v>
      </c>
      <c r="E459">
        <v>4</v>
      </c>
      <c r="F459">
        <v>3271.38434682037</v>
      </c>
      <c r="G459" t="s">
        <v>48</v>
      </c>
      <c r="H459" t="s">
        <v>40</v>
      </c>
      <c r="I459" t="s">
        <v>45</v>
      </c>
    </row>
    <row r="460" spans="1:9" x14ac:dyDescent="0.25">
      <c r="A460" s="2">
        <v>45580</v>
      </c>
      <c r="B460">
        <v>93</v>
      </c>
      <c r="C460">
        <v>19</v>
      </c>
      <c r="D460" s="3">
        <v>186.15993560081489</v>
      </c>
      <c r="E460">
        <v>36</v>
      </c>
      <c r="F460">
        <v>1548.3176363913519</v>
      </c>
      <c r="G460" t="s">
        <v>9</v>
      </c>
      <c r="H460" t="s">
        <v>35</v>
      </c>
      <c r="I460" t="s">
        <v>46</v>
      </c>
    </row>
    <row r="461" spans="1:9" x14ac:dyDescent="0.25">
      <c r="A461" s="2">
        <v>45581</v>
      </c>
      <c r="B461">
        <v>73</v>
      </c>
      <c r="C461">
        <v>28</v>
      </c>
      <c r="D461" s="3">
        <v>196.14450940433539</v>
      </c>
      <c r="E461">
        <v>7</v>
      </c>
      <c r="F461">
        <v>609.80351700442111</v>
      </c>
      <c r="G461" t="s">
        <v>48</v>
      </c>
      <c r="H461" t="s">
        <v>38</v>
      </c>
      <c r="I461" t="s">
        <v>45</v>
      </c>
    </row>
    <row r="462" spans="1:9" x14ac:dyDescent="0.25">
      <c r="A462" s="2">
        <v>45582</v>
      </c>
      <c r="B462">
        <v>64</v>
      </c>
      <c r="C462">
        <v>67</v>
      </c>
      <c r="D462" s="3">
        <v>120.4343081332394</v>
      </c>
      <c r="E462">
        <v>27</v>
      </c>
      <c r="F462">
        <v>4415.4449325541846</v>
      </c>
      <c r="G462" t="s">
        <v>12</v>
      </c>
      <c r="H462" t="s">
        <v>35</v>
      </c>
      <c r="I462" t="s">
        <v>46</v>
      </c>
    </row>
    <row r="463" spans="1:9" x14ac:dyDescent="0.25">
      <c r="A463" s="2">
        <v>45583</v>
      </c>
      <c r="B463">
        <v>81</v>
      </c>
      <c r="C463">
        <v>10</v>
      </c>
      <c r="D463" s="3">
        <v>184.4675315360823</v>
      </c>
      <c r="E463">
        <v>30</v>
      </c>
      <c r="F463">
        <v>595.71234882674207</v>
      </c>
      <c r="G463" t="s">
        <v>9</v>
      </c>
      <c r="H463" t="s">
        <v>38</v>
      </c>
      <c r="I463" t="s">
        <v>45</v>
      </c>
    </row>
    <row r="464" spans="1:9" x14ac:dyDescent="0.25">
      <c r="A464" s="2">
        <v>45586</v>
      </c>
      <c r="B464">
        <v>81</v>
      </c>
      <c r="C464">
        <v>78</v>
      </c>
      <c r="D464" s="3">
        <v>239.2951695159793</v>
      </c>
      <c r="E464">
        <v>8</v>
      </c>
      <c r="F464">
        <v>4436.1575270788971</v>
      </c>
      <c r="G464" t="s">
        <v>18</v>
      </c>
      <c r="H464" t="s">
        <v>40</v>
      </c>
      <c r="I464" t="s">
        <v>46</v>
      </c>
    </row>
    <row r="465" spans="1:9" x14ac:dyDescent="0.25">
      <c r="A465" s="2">
        <v>45587</v>
      </c>
      <c r="B465">
        <v>73</v>
      </c>
      <c r="C465">
        <v>13</v>
      </c>
      <c r="D465" s="3">
        <v>188.5052421383734</v>
      </c>
      <c r="E465">
        <v>28</v>
      </c>
      <c r="F465">
        <v>2880.2171031224539</v>
      </c>
      <c r="G465" t="s">
        <v>47</v>
      </c>
      <c r="H465" t="s">
        <v>43</v>
      </c>
      <c r="I465" t="s">
        <v>45</v>
      </c>
    </row>
    <row r="466" spans="1:9" x14ac:dyDescent="0.25">
      <c r="A466" s="2">
        <v>45588</v>
      </c>
      <c r="B466">
        <v>90</v>
      </c>
      <c r="C466">
        <v>25</v>
      </c>
      <c r="D466" s="3">
        <v>144.35126687852781</v>
      </c>
      <c r="E466">
        <v>13</v>
      </c>
      <c r="F466">
        <v>4725.8046433080326</v>
      </c>
      <c r="G466" t="s">
        <v>34</v>
      </c>
      <c r="H466" t="s">
        <v>44</v>
      </c>
      <c r="I466" t="s">
        <v>46</v>
      </c>
    </row>
    <row r="467" spans="1:9" x14ac:dyDescent="0.25">
      <c r="A467" s="2">
        <v>45589</v>
      </c>
      <c r="B467">
        <v>98</v>
      </c>
      <c r="C467">
        <v>33</v>
      </c>
      <c r="D467" s="3">
        <v>160.3179355503004</v>
      </c>
      <c r="E467">
        <v>39</v>
      </c>
      <c r="F467">
        <v>4094.5245609814938</v>
      </c>
      <c r="G467" t="s">
        <v>12</v>
      </c>
      <c r="H467" t="s">
        <v>37</v>
      </c>
      <c r="I467" t="s">
        <v>46</v>
      </c>
    </row>
    <row r="468" spans="1:9" x14ac:dyDescent="0.25">
      <c r="A468" s="2">
        <v>45590</v>
      </c>
      <c r="B468">
        <v>98</v>
      </c>
      <c r="C468">
        <v>11</v>
      </c>
      <c r="D468" s="3">
        <v>330.3893840163629</v>
      </c>
      <c r="E468">
        <v>21</v>
      </c>
      <c r="F468">
        <v>4990.7034974000189</v>
      </c>
      <c r="G468" t="s">
        <v>12</v>
      </c>
      <c r="H468" t="s">
        <v>42</v>
      </c>
      <c r="I468" t="s">
        <v>45</v>
      </c>
    </row>
    <row r="469" spans="1:9" x14ac:dyDescent="0.25">
      <c r="A469" s="2">
        <v>45593</v>
      </c>
      <c r="B469">
        <v>61</v>
      </c>
      <c r="C469">
        <v>41</v>
      </c>
      <c r="D469" s="3">
        <v>203.16685920289629</v>
      </c>
      <c r="E469">
        <v>10</v>
      </c>
      <c r="F469">
        <v>2078.2031695326959</v>
      </c>
      <c r="G469" t="s">
        <v>10</v>
      </c>
      <c r="H469" t="s">
        <v>37</v>
      </c>
      <c r="I469" t="s">
        <v>45</v>
      </c>
    </row>
    <row r="470" spans="1:9" x14ac:dyDescent="0.25">
      <c r="A470" s="2">
        <v>45594</v>
      </c>
      <c r="B470">
        <v>88</v>
      </c>
      <c r="C470">
        <v>33</v>
      </c>
      <c r="D470" s="3">
        <v>282.13493052403771</v>
      </c>
      <c r="E470">
        <v>22</v>
      </c>
      <c r="F470">
        <v>3952.3473001900711</v>
      </c>
      <c r="G470" t="s">
        <v>18</v>
      </c>
      <c r="H470" t="s">
        <v>43</v>
      </c>
      <c r="I470" t="s">
        <v>45</v>
      </c>
    </row>
    <row r="471" spans="1:9" x14ac:dyDescent="0.25">
      <c r="A471" s="2">
        <v>45595</v>
      </c>
      <c r="B471">
        <v>51</v>
      </c>
      <c r="C471">
        <v>21</v>
      </c>
      <c r="D471" s="3">
        <v>351.70863542742848</v>
      </c>
      <c r="E471">
        <v>0</v>
      </c>
      <c r="F471">
        <v>2308.6891112415901</v>
      </c>
      <c r="G471" t="s">
        <v>18</v>
      </c>
      <c r="H471" t="s">
        <v>42</v>
      </c>
      <c r="I471" t="s">
        <v>45</v>
      </c>
    </row>
    <row r="472" spans="1:9" x14ac:dyDescent="0.25">
      <c r="A472" s="2">
        <v>45596</v>
      </c>
      <c r="B472">
        <v>52</v>
      </c>
      <c r="C472">
        <v>59</v>
      </c>
      <c r="D472" s="3">
        <v>445.19741431468259</v>
      </c>
      <c r="E472">
        <v>36</v>
      </c>
      <c r="F472">
        <v>2659.4402913675899</v>
      </c>
      <c r="G472" t="s">
        <v>49</v>
      </c>
      <c r="H472" t="s">
        <v>35</v>
      </c>
      <c r="I472" t="s">
        <v>46</v>
      </c>
    </row>
    <row r="473" spans="1:9" x14ac:dyDescent="0.25">
      <c r="A473" s="2">
        <v>45597</v>
      </c>
      <c r="B473">
        <v>73</v>
      </c>
      <c r="C473">
        <v>8</v>
      </c>
      <c r="D473" s="3">
        <v>182.48</v>
      </c>
      <c r="E473">
        <v>8</v>
      </c>
      <c r="F473">
        <v>548.46</v>
      </c>
      <c r="G473" t="s">
        <v>31</v>
      </c>
      <c r="H473" t="s">
        <v>39</v>
      </c>
      <c r="I473" t="s">
        <v>46</v>
      </c>
    </row>
    <row r="474" spans="1:9" x14ac:dyDescent="0.25">
      <c r="A474" s="2">
        <v>45597</v>
      </c>
      <c r="B474">
        <v>77</v>
      </c>
      <c r="C474">
        <v>16</v>
      </c>
      <c r="D474" s="3">
        <v>502.41</v>
      </c>
      <c r="E474">
        <v>5</v>
      </c>
      <c r="F474">
        <v>1093.75</v>
      </c>
      <c r="G474" t="s">
        <v>13</v>
      </c>
      <c r="H474" t="s">
        <v>44</v>
      </c>
      <c r="I474" t="s">
        <v>46</v>
      </c>
    </row>
    <row r="475" spans="1:9" x14ac:dyDescent="0.25">
      <c r="A475" s="2">
        <v>45597</v>
      </c>
      <c r="B475">
        <v>22</v>
      </c>
      <c r="C475">
        <v>6</v>
      </c>
      <c r="D475" s="3">
        <v>80.02</v>
      </c>
      <c r="E475">
        <v>3</v>
      </c>
      <c r="F475">
        <v>1476.69</v>
      </c>
      <c r="G475" t="s">
        <v>12</v>
      </c>
      <c r="H475" t="s">
        <v>43</v>
      </c>
      <c r="I475" t="s">
        <v>45</v>
      </c>
    </row>
    <row r="476" spans="1:9" x14ac:dyDescent="0.25">
      <c r="A476" s="2">
        <v>45597</v>
      </c>
      <c r="B476">
        <v>41</v>
      </c>
      <c r="C476">
        <v>13</v>
      </c>
      <c r="D476" s="3">
        <v>370.44</v>
      </c>
      <c r="E476">
        <v>9</v>
      </c>
      <c r="F476">
        <v>4484.96</v>
      </c>
      <c r="G476" t="s">
        <v>34</v>
      </c>
      <c r="H476" t="s">
        <v>42</v>
      </c>
      <c r="I476" t="s">
        <v>45</v>
      </c>
    </row>
    <row r="477" spans="1:9" x14ac:dyDescent="0.25">
      <c r="A477" s="2">
        <v>45597</v>
      </c>
      <c r="B477">
        <v>28</v>
      </c>
      <c r="C477">
        <v>12</v>
      </c>
      <c r="D477" s="3">
        <v>565.51</v>
      </c>
      <c r="E477">
        <v>4</v>
      </c>
      <c r="F477">
        <v>231.16</v>
      </c>
      <c r="G477" t="s">
        <v>33</v>
      </c>
      <c r="H477" t="s">
        <v>41</v>
      </c>
      <c r="I477" t="s">
        <v>46</v>
      </c>
    </row>
    <row r="478" spans="1:9" x14ac:dyDescent="0.25">
      <c r="A478" s="2">
        <v>45597</v>
      </c>
      <c r="B478">
        <v>97</v>
      </c>
      <c r="C478">
        <v>14</v>
      </c>
      <c r="D478" s="3">
        <v>368.16</v>
      </c>
      <c r="E478">
        <v>0</v>
      </c>
      <c r="F478">
        <v>3020.19</v>
      </c>
      <c r="G478" t="s">
        <v>32</v>
      </c>
      <c r="H478" t="s">
        <v>36</v>
      </c>
      <c r="I478" t="s">
        <v>46</v>
      </c>
    </row>
    <row r="479" spans="1:9" x14ac:dyDescent="0.25">
      <c r="A479" s="2">
        <v>45597</v>
      </c>
      <c r="B479">
        <v>87</v>
      </c>
      <c r="C479">
        <v>5</v>
      </c>
      <c r="D479" s="3">
        <v>601.28</v>
      </c>
      <c r="E479">
        <v>2</v>
      </c>
      <c r="F479">
        <v>3491.19</v>
      </c>
      <c r="G479" t="s">
        <v>30</v>
      </c>
      <c r="H479" t="s">
        <v>41</v>
      </c>
      <c r="I479" t="s">
        <v>45</v>
      </c>
    </row>
    <row r="480" spans="1:9" x14ac:dyDescent="0.25">
      <c r="A480" s="2">
        <v>45597</v>
      </c>
      <c r="B480">
        <v>18</v>
      </c>
      <c r="C480">
        <v>15</v>
      </c>
      <c r="D480" s="3">
        <v>268.94</v>
      </c>
      <c r="E480">
        <v>1</v>
      </c>
      <c r="F480">
        <v>1469.71</v>
      </c>
      <c r="G480" t="s">
        <v>29</v>
      </c>
      <c r="H480" t="s">
        <v>43</v>
      </c>
      <c r="I480" t="s">
        <v>46</v>
      </c>
    </row>
    <row r="481" spans="1:9" x14ac:dyDescent="0.25">
      <c r="A481" s="2">
        <v>45597</v>
      </c>
      <c r="B481">
        <v>72</v>
      </c>
      <c r="C481">
        <v>12</v>
      </c>
      <c r="D481" s="3">
        <v>474.28</v>
      </c>
      <c r="E481">
        <v>1</v>
      </c>
      <c r="F481">
        <v>1097.5999999999999</v>
      </c>
      <c r="G481" t="s">
        <v>28</v>
      </c>
      <c r="H481" t="s">
        <v>39</v>
      </c>
      <c r="I481" t="s">
        <v>45</v>
      </c>
    </row>
    <row r="482" spans="1:9" x14ac:dyDescent="0.25">
      <c r="A482" s="2">
        <v>45597</v>
      </c>
      <c r="B482">
        <v>96</v>
      </c>
      <c r="C482">
        <v>16</v>
      </c>
      <c r="D482" s="3">
        <v>161.69</v>
      </c>
      <c r="E482">
        <v>5</v>
      </c>
      <c r="F482">
        <v>392.05</v>
      </c>
      <c r="G482" t="s">
        <v>27</v>
      </c>
      <c r="H482" t="s">
        <v>39</v>
      </c>
      <c r="I482" t="s">
        <v>45</v>
      </c>
    </row>
    <row r="483" spans="1:9" x14ac:dyDescent="0.25">
      <c r="A483" s="2">
        <v>45597</v>
      </c>
      <c r="B483">
        <v>26</v>
      </c>
      <c r="C483">
        <v>17</v>
      </c>
      <c r="D483" s="3">
        <v>504.54</v>
      </c>
      <c r="E483">
        <v>8</v>
      </c>
      <c r="F483">
        <v>3359.77</v>
      </c>
      <c r="G483" t="s">
        <v>26</v>
      </c>
      <c r="H483" t="s">
        <v>42</v>
      </c>
      <c r="I483" t="s">
        <v>45</v>
      </c>
    </row>
    <row r="484" spans="1:9" x14ac:dyDescent="0.25">
      <c r="A484" s="2">
        <v>45597</v>
      </c>
      <c r="B484">
        <v>81</v>
      </c>
      <c r="C484">
        <v>7</v>
      </c>
      <c r="D484" s="3">
        <v>79.62</v>
      </c>
      <c r="E484">
        <v>7</v>
      </c>
      <c r="F484">
        <v>3892.76</v>
      </c>
      <c r="G484" t="s">
        <v>25</v>
      </c>
      <c r="H484" t="s">
        <v>35</v>
      </c>
      <c r="I484" t="s">
        <v>46</v>
      </c>
    </row>
    <row r="485" spans="1:9" x14ac:dyDescent="0.25">
      <c r="A485" s="2">
        <v>45597</v>
      </c>
      <c r="B485">
        <v>100</v>
      </c>
      <c r="C485">
        <v>6</v>
      </c>
      <c r="D485" s="3">
        <v>153.34</v>
      </c>
      <c r="E485">
        <v>3</v>
      </c>
      <c r="F485">
        <v>1248.54</v>
      </c>
      <c r="G485" t="s">
        <v>24</v>
      </c>
      <c r="H485" t="s">
        <v>40</v>
      </c>
      <c r="I485" t="s">
        <v>46</v>
      </c>
    </row>
    <row r="486" spans="1:9" x14ac:dyDescent="0.25">
      <c r="A486" s="2">
        <v>45597</v>
      </c>
      <c r="B486">
        <v>65</v>
      </c>
      <c r="C486">
        <v>9</v>
      </c>
      <c r="D486" s="3">
        <v>220.46</v>
      </c>
      <c r="E486">
        <v>3</v>
      </c>
      <c r="F486">
        <v>707.75</v>
      </c>
      <c r="G486" t="s">
        <v>23</v>
      </c>
      <c r="H486" t="s">
        <v>38</v>
      </c>
      <c r="I486" t="s">
        <v>46</v>
      </c>
    </row>
    <row r="487" spans="1:9" x14ac:dyDescent="0.25">
      <c r="A487" s="2">
        <v>45597</v>
      </c>
      <c r="B487">
        <v>30</v>
      </c>
      <c r="C487">
        <v>6</v>
      </c>
      <c r="D487" s="3">
        <v>209.84</v>
      </c>
      <c r="E487">
        <v>1</v>
      </c>
      <c r="F487">
        <v>3534.1</v>
      </c>
      <c r="G487" t="s">
        <v>22</v>
      </c>
      <c r="H487" t="s">
        <v>41</v>
      </c>
      <c r="I487" t="s">
        <v>45</v>
      </c>
    </row>
    <row r="488" spans="1:9" x14ac:dyDescent="0.25">
      <c r="A488" s="2">
        <v>45597</v>
      </c>
      <c r="B488">
        <v>59</v>
      </c>
      <c r="C488">
        <v>21</v>
      </c>
      <c r="D488" s="3">
        <v>633.37</v>
      </c>
      <c r="E488">
        <v>2</v>
      </c>
      <c r="F488">
        <v>358.29</v>
      </c>
      <c r="G488" t="s">
        <v>21</v>
      </c>
      <c r="H488" t="s">
        <v>44</v>
      </c>
      <c r="I488" t="s">
        <v>45</v>
      </c>
    </row>
    <row r="489" spans="1:9" x14ac:dyDescent="0.25">
      <c r="A489" s="2">
        <v>45597</v>
      </c>
      <c r="B489">
        <v>32</v>
      </c>
      <c r="C489">
        <v>7</v>
      </c>
      <c r="D489" s="3">
        <v>563.41999999999996</v>
      </c>
      <c r="E489">
        <v>6</v>
      </c>
      <c r="F489">
        <v>3543.71</v>
      </c>
      <c r="G489" t="s">
        <v>20</v>
      </c>
      <c r="H489" t="s">
        <v>42</v>
      </c>
      <c r="I489" t="s">
        <v>46</v>
      </c>
    </row>
    <row r="490" spans="1:9" x14ac:dyDescent="0.25">
      <c r="A490" s="2">
        <v>45597</v>
      </c>
      <c r="B490">
        <v>23</v>
      </c>
      <c r="C490">
        <v>7</v>
      </c>
      <c r="D490" s="3">
        <v>190.12</v>
      </c>
      <c r="E490">
        <v>4</v>
      </c>
      <c r="F490">
        <v>788.65</v>
      </c>
      <c r="G490" t="s">
        <v>19</v>
      </c>
      <c r="H490" t="s">
        <v>35</v>
      </c>
      <c r="I490" t="s">
        <v>45</v>
      </c>
    </row>
    <row r="491" spans="1:9" x14ac:dyDescent="0.25">
      <c r="A491" s="2">
        <v>45597</v>
      </c>
      <c r="B491">
        <v>74</v>
      </c>
      <c r="C491">
        <v>13</v>
      </c>
      <c r="D491" s="3">
        <v>324.77999999999997</v>
      </c>
      <c r="E491">
        <v>7</v>
      </c>
      <c r="F491">
        <v>995.6</v>
      </c>
      <c r="G491" t="s">
        <v>18</v>
      </c>
      <c r="H491" t="s">
        <v>40</v>
      </c>
      <c r="I491" t="s">
        <v>45</v>
      </c>
    </row>
    <row r="492" spans="1:9" x14ac:dyDescent="0.25">
      <c r="A492" s="2">
        <v>45597</v>
      </c>
      <c r="B492">
        <v>30</v>
      </c>
      <c r="C492">
        <v>21</v>
      </c>
      <c r="D492" s="3">
        <v>372.34</v>
      </c>
      <c r="E492">
        <v>7</v>
      </c>
      <c r="F492">
        <v>1172.04</v>
      </c>
      <c r="G492" t="s">
        <v>17</v>
      </c>
      <c r="H492" t="s">
        <v>43</v>
      </c>
      <c r="I492" t="s">
        <v>46</v>
      </c>
    </row>
    <row r="493" spans="1:9" x14ac:dyDescent="0.25">
      <c r="A493" s="2">
        <v>45597</v>
      </c>
      <c r="B493">
        <v>50</v>
      </c>
      <c r="C493">
        <v>9</v>
      </c>
      <c r="D493" s="3">
        <v>237.95</v>
      </c>
      <c r="E493">
        <v>5</v>
      </c>
      <c r="F493">
        <v>3982.36</v>
      </c>
      <c r="G493" t="s">
        <v>16</v>
      </c>
      <c r="H493" t="s">
        <v>40</v>
      </c>
      <c r="I493" t="s">
        <v>46</v>
      </c>
    </row>
    <row r="494" spans="1:9" x14ac:dyDescent="0.25">
      <c r="A494" s="2">
        <v>45597</v>
      </c>
      <c r="B494">
        <v>53</v>
      </c>
      <c r="C494">
        <v>17</v>
      </c>
      <c r="D494" s="3">
        <v>404.22</v>
      </c>
      <c r="E494">
        <v>2</v>
      </c>
      <c r="F494">
        <v>3669.4</v>
      </c>
      <c r="G494" t="s">
        <v>11</v>
      </c>
      <c r="H494" t="s">
        <v>39</v>
      </c>
      <c r="I494" t="s">
        <v>46</v>
      </c>
    </row>
    <row r="495" spans="1:9" x14ac:dyDescent="0.25">
      <c r="A495" s="2">
        <v>45597</v>
      </c>
      <c r="B495">
        <v>74</v>
      </c>
      <c r="C495">
        <v>17</v>
      </c>
      <c r="D495" s="3">
        <v>284.91000000000003</v>
      </c>
      <c r="E495">
        <v>3</v>
      </c>
      <c r="F495">
        <v>2481.64</v>
      </c>
      <c r="G495" t="s">
        <v>15</v>
      </c>
      <c r="H495" t="s">
        <v>43</v>
      </c>
      <c r="I495" t="s">
        <v>46</v>
      </c>
    </row>
    <row r="496" spans="1:9" x14ac:dyDescent="0.25">
      <c r="A496" s="2">
        <v>45597</v>
      </c>
      <c r="B496">
        <v>76</v>
      </c>
      <c r="C496">
        <v>14</v>
      </c>
      <c r="D496" s="3">
        <v>351.42</v>
      </c>
      <c r="E496">
        <v>4</v>
      </c>
      <c r="F496">
        <v>3917.99</v>
      </c>
      <c r="G496" t="s">
        <v>10</v>
      </c>
      <c r="H496" t="s">
        <v>43</v>
      </c>
      <c r="I496" t="s">
        <v>46</v>
      </c>
    </row>
    <row r="497" spans="1:9" x14ac:dyDescent="0.25">
      <c r="A497" s="2">
        <v>45597</v>
      </c>
      <c r="B497">
        <v>52</v>
      </c>
      <c r="C497">
        <v>6</v>
      </c>
      <c r="D497" s="3">
        <v>492.23</v>
      </c>
      <c r="E497">
        <v>2</v>
      </c>
      <c r="F497">
        <v>3775.84</v>
      </c>
      <c r="G497" t="s">
        <v>14</v>
      </c>
      <c r="H497" t="s">
        <v>36</v>
      </c>
      <c r="I497" t="s">
        <v>45</v>
      </c>
    </row>
    <row r="498" spans="1:9" x14ac:dyDescent="0.25">
      <c r="A498" s="2">
        <v>45597</v>
      </c>
      <c r="B498">
        <v>67</v>
      </c>
      <c r="C498">
        <v>12</v>
      </c>
      <c r="D498" s="3">
        <v>352.6</v>
      </c>
      <c r="E498">
        <v>6</v>
      </c>
      <c r="F498">
        <v>4402.41</v>
      </c>
      <c r="G498" t="s">
        <v>9</v>
      </c>
      <c r="H498" t="s">
        <v>40</v>
      </c>
      <c r="I498" t="s">
        <v>46</v>
      </c>
    </row>
    <row r="499" spans="1:9" x14ac:dyDescent="0.25">
      <c r="A499" s="2">
        <v>45600</v>
      </c>
      <c r="B499">
        <v>98</v>
      </c>
      <c r="C499">
        <v>44</v>
      </c>
      <c r="D499" s="3">
        <v>119.6560699205495</v>
      </c>
      <c r="E499">
        <v>20</v>
      </c>
      <c r="F499">
        <v>3323.774584482665</v>
      </c>
      <c r="G499" t="s">
        <v>12</v>
      </c>
      <c r="H499" t="s">
        <v>40</v>
      </c>
      <c r="I499" t="s">
        <v>46</v>
      </c>
    </row>
    <row r="500" spans="1:9" x14ac:dyDescent="0.25">
      <c r="A500" s="2">
        <v>45601</v>
      </c>
      <c r="B500">
        <v>86</v>
      </c>
      <c r="C500">
        <v>42</v>
      </c>
      <c r="D500" s="3">
        <v>499.70519945452128</v>
      </c>
      <c r="E500">
        <v>25</v>
      </c>
      <c r="F500">
        <v>4431.5470138385244</v>
      </c>
      <c r="G500" t="s">
        <v>49</v>
      </c>
      <c r="H500" t="s">
        <v>40</v>
      </c>
      <c r="I500" t="s">
        <v>45</v>
      </c>
    </row>
    <row r="501" spans="1:9" x14ac:dyDescent="0.25">
      <c r="A501" s="2">
        <v>45602</v>
      </c>
      <c r="B501">
        <v>98</v>
      </c>
      <c r="C501">
        <v>42</v>
      </c>
      <c r="D501" s="3">
        <v>413.95019474545393</v>
      </c>
      <c r="E501">
        <v>35</v>
      </c>
      <c r="F501">
        <v>4928.3756113968284</v>
      </c>
      <c r="G501" t="s">
        <v>49</v>
      </c>
      <c r="H501" t="s">
        <v>36</v>
      </c>
      <c r="I501" t="s">
        <v>46</v>
      </c>
    </row>
    <row r="502" spans="1:9" x14ac:dyDescent="0.25">
      <c r="A502" s="2">
        <v>45603</v>
      </c>
      <c r="B502">
        <v>66</v>
      </c>
      <c r="C502">
        <v>70</v>
      </c>
      <c r="D502" s="3">
        <v>140.87951597443589</v>
      </c>
      <c r="E502">
        <v>22</v>
      </c>
      <c r="F502">
        <v>3957.2303623903322</v>
      </c>
      <c r="G502" t="s">
        <v>34</v>
      </c>
      <c r="H502" t="s">
        <v>43</v>
      </c>
      <c r="I502" t="s">
        <v>45</v>
      </c>
    </row>
    <row r="503" spans="1:9" x14ac:dyDescent="0.25">
      <c r="A503" s="2">
        <v>45604</v>
      </c>
      <c r="B503">
        <v>98</v>
      </c>
      <c r="C503">
        <v>60</v>
      </c>
      <c r="D503" s="3">
        <v>536.78931205338858</v>
      </c>
      <c r="E503">
        <v>0</v>
      </c>
      <c r="F503">
        <v>2379.950519753002</v>
      </c>
      <c r="G503" t="s">
        <v>49</v>
      </c>
      <c r="H503" t="s">
        <v>43</v>
      </c>
      <c r="I503" t="s">
        <v>45</v>
      </c>
    </row>
    <row r="504" spans="1:9" x14ac:dyDescent="0.25">
      <c r="A504" s="2">
        <v>45607</v>
      </c>
      <c r="B504">
        <v>51</v>
      </c>
      <c r="C504">
        <v>52</v>
      </c>
      <c r="D504" s="3">
        <v>560.43620026590656</v>
      </c>
      <c r="E504">
        <v>39</v>
      </c>
      <c r="F504">
        <v>2396.106510246816</v>
      </c>
      <c r="G504" t="s">
        <v>9</v>
      </c>
      <c r="H504" t="s">
        <v>44</v>
      </c>
      <c r="I504" t="s">
        <v>46</v>
      </c>
    </row>
    <row r="505" spans="1:9" x14ac:dyDescent="0.25">
      <c r="A505" s="2">
        <v>45608</v>
      </c>
      <c r="B505">
        <v>51</v>
      </c>
      <c r="C505">
        <v>21</v>
      </c>
      <c r="D505" s="3">
        <v>130.53897992743191</v>
      </c>
      <c r="E505">
        <v>14</v>
      </c>
      <c r="F505">
        <v>3819.1203571500118</v>
      </c>
      <c r="G505" t="s">
        <v>48</v>
      </c>
      <c r="H505" t="s">
        <v>37</v>
      </c>
      <c r="I505" t="s">
        <v>46</v>
      </c>
    </row>
    <row r="506" spans="1:9" x14ac:dyDescent="0.25">
      <c r="A506" s="2">
        <v>45609</v>
      </c>
      <c r="B506">
        <v>77</v>
      </c>
      <c r="C506">
        <v>76</v>
      </c>
      <c r="D506" s="3">
        <v>238.43882407360189</v>
      </c>
      <c r="E506">
        <v>20</v>
      </c>
      <c r="F506">
        <v>1574.497155957361</v>
      </c>
      <c r="G506" t="s">
        <v>47</v>
      </c>
      <c r="H506" t="s">
        <v>43</v>
      </c>
      <c r="I506" t="s">
        <v>46</v>
      </c>
    </row>
    <row r="507" spans="1:9" x14ac:dyDescent="0.25">
      <c r="A507" s="2">
        <v>45610</v>
      </c>
      <c r="B507">
        <v>72</v>
      </c>
      <c r="C507">
        <v>74</v>
      </c>
      <c r="D507" s="3">
        <v>503.10063989653071</v>
      </c>
      <c r="E507">
        <v>8</v>
      </c>
      <c r="F507">
        <v>997.13350909127598</v>
      </c>
      <c r="G507" t="s">
        <v>18</v>
      </c>
      <c r="H507" t="s">
        <v>43</v>
      </c>
      <c r="I507" t="s">
        <v>46</v>
      </c>
    </row>
    <row r="508" spans="1:9" x14ac:dyDescent="0.25">
      <c r="A508" s="2">
        <v>45611</v>
      </c>
      <c r="B508">
        <v>86</v>
      </c>
      <c r="C508">
        <v>42</v>
      </c>
      <c r="D508" s="3">
        <v>474.12984519182919</v>
      </c>
      <c r="E508">
        <v>8</v>
      </c>
      <c r="F508">
        <v>2095.7997093834952</v>
      </c>
      <c r="G508" t="s">
        <v>9</v>
      </c>
      <c r="H508" t="s">
        <v>35</v>
      </c>
      <c r="I508" t="s">
        <v>46</v>
      </c>
    </row>
    <row r="509" spans="1:9" x14ac:dyDescent="0.25">
      <c r="A509" s="2">
        <v>45614</v>
      </c>
      <c r="B509">
        <v>81</v>
      </c>
      <c r="C509">
        <v>49</v>
      </c>
      <c r="D509" s="3">
        <v>192.2605096781887</v>
      </c>
      <c r="E509">
        <v>9</v>
      </c>
      <c r="F509">
        <v>1792.575462443368</v>
      </c>
      <c r="G509" t="s">
        <v>47</v>
      </c>
      <c r="H509" t="s">
        <v>35</v>
      </c>
      <c r="I509" t="s">
        <v>46</v>
      </c>
    </row>
    <row r="510" spans="1:9" x14ac:dyDescent="0.25">
      <c r="A510" s="2">
        <v>45615</v>
      </c>
      <c r="B510">
        <v>82</v>
      </c>
      <c r="C510">
        <v>52</v>
      </c>
      <c r="D510" s="3">
        <v>204.67466166835521</v>
      </c>
      <c r="E510">
        <v>25</v>
      </c>
      <c r="F510">
        <v>1833.3865420519551</v>
      </c>
      <c r="G510" t="s">
        <v>12</v>
      </c>
      <c r="H510" t="s">
        <v>42</v>
      </c>
      <c r="I510" t="s">
        <v>46</v>
      </c>
    </row>
    <row r="511" spans="1:9" x14ac:dyDescent="0.25">
      <c r="A511" s="2">
        <v>45616</v>
      </c>
      <c r="B511">
        <v>50</v>
      </c>
      <c r="C511">
        <v>53</v>
      </c>
      <c r="D511" s="3">
        <v>285.23605139569099</v>
      </c>
      <c r="E511">
        <v>34</v>
      </c>
      <c r="F511">
        <v>1551.234879724595</v>
      </c>
      <c r="G511" t="s">
        <v>12</v>
      </c>
      <c r="H511" t="s">
        <v>38</v>
      </c>
      <c r="I511" t="s">
        <v>45</v>
      </c>
    </row>
    <row r="512" spans="1:9" x14ac:dyDescent="0.25">
      <c r="A512" s="2">
        <v>45617</v>
      </c>
      <c r="B512">
        <v>68</v>
      </c>
      <c r="C512">
        <v>38</v>
      </c>
      <c r="D512" s="3">
        <v>342.26149259551067</v>
      </c>
      <c r="E512">
        <v>24</v>
      </c>
      <c r="F512">
        <v>689.41935336362849</v>
      </c>
      <c r="G512" t="s">
        <v>12</v>
      </c>
      <c r="H512" t="s">
        <v>38</v>
      </c>
      <c r="I512" t="s">
        <v>45</v>
      </c>
    </row>
    <row r="513" spans="1:9" x14ac:dyDescent="0.25">
      <c r="A513" s="2">
        <v>45618</v>
      </c>
      <c r="B513">
        <v>51</v>
      </c>
      <c r="C513">
        <v>22</v>
      </c>
      <c r="D513" s="3">
        <v>409.12738576514801</v>
      </c>
      <c r="E513">
        <v>25</v>
      </c>
      <c r="F513">
        <v>580.43270630036216</v>
      </c>
      <c r="G513" t="s">
        <v>9</v>
      </c>
      <c r="H513" t="s">
        <v>36</v>
      </c>
      <c r="I513" t="s">
        <v>45</v>
      </c>
    </row>
    <row r="514" spans="1:9" x14ac:dyDescent="0.25">
      <c r="A514" s="2">
        <v>45621</v>
      </c>
      <c r="B514">
        <v>93</v>
      </c>
      <c r="C514">
        <v>21</v>
      </c>
      <c r="D514" s="3">
        <v>284.45681978488619</v>
      </c>
      <c r="E514">
        <v>10</v>
      </c>
      <c r="F514">
        <v>4944.7507538121417</v>
      </c>
      <c r="G514" t="s">
        <v>9</v>
      </c>
      <c r="H514" t="s">
        <v>38</v>
      </c>
      <c r="I514" t="s">
        <v>45</v>
      </c>
    </row>
    <row r="515" spans="1:9" x14ac:dyDescent="0.25">
      <c r="A515" s="2">
        <v>45622</v>
      </c>
      <c r="B515">
        <v>75</v>
      </c>
      <c r="C515">
        <v>55</v>
      </c>
      <c r="D515" s="3">
        <v>331.26735806657388</v>
      </c>
      <c r="E515">
        <v>37</v>
      </c>
      <c r="F515">
        <v>2424.979101811381</v>
      </c>
      <c r="G515" t="s">
        <v>18</v>
      </c>
      <c r="H515" t="s">
        <v>44</v>
      </c>
      <c r="I515" t="s">
        <v>45</v>
      </c>
    </row>
    <row r="516" spans="1:9" x14ac:dyDescent="0.25">
      <c r="A516" s="2">
        <v>45623</v>
      </c>
      <c r="B516">
        <v>81</v>
      </c>
      <c r="C516">
        <v>11</v>
      </c>
      <c r="D516" s="3">
        <v>473.7354690668783</v>
      </c>
      <c r="E516">
        <v>1</v>
      </c>
      <c r="F516">
        <v>2229.469912218568</v>
      </c>
      <c r="G516" t="s">
        <v>48</v>
      </c>
      <c r="H516" t="s">
        <v>36</v>
      </c>
      <c r="I516" t="s">
        <v>46</v>
      </c>
    </row>
    <row r="517" spans="1:9" x14ac:dyDescent="0.25">
      <c r="A517" s="2">
        <v>45624</v>
      </c>
      <c r="B517">
        <v>55</v>
      </c>
      <c r="C517">
        <v>44</v>
      </c>
      <c r="D517" s="3">
        <v>118.34160144529891</v>
      </c>
      <c r="E517">
        <v>6</v>
      </c>
      <c r="F517">
        <v>3558.4127721188138</v>
      </c>
      <c r="G517" t="s">
        <v>10</v>
      </c>
      <c r="H517" t="s">
        <v>42</v>
      </c>
      <c r="I517" t="s">
        <v>45</v>
      </c>
    </row>
    <row r="518" spans="1:9" x14ac:dyDescent="0.25">
      <c r="A518" s="2">
        <v>45625</v>
      </c>
      <c r="B518">
        <v>81</v>
      </c>
      <c r="C518">
        <v>17</v>
      </c>
      <c r="D518" s="3">
        <v>226.21847217201039</v>
      </c>
      <c r="E518">
        <v>17</v>
      </c>
      <c r="F518">
        <v>1482.142495392789</v>
      </c>
      <c r="G518" t="s">
        <v>49</v>
      </c>
      <c r="H518" t="s">
        <v>35</v>
      </c>
      <c r="I518" t="s">
        <v>45</v>
      </c>
    </row>
    <row r="519" spans="1:9" x14ac:dyDescent="0.25">
      <c r="A519" s="2">
        <v>45627</v>
      </c>
      <c r="B519">
        <v>39</v>
      </c>
      <c r="C519">
        <v>15</v>
      </c>
      <c r="D519" s="3">
        <v>319.08999999999997</v>
      </c>
      <c r="E519">
        <v>7</v>
      </c>
      <c r="F519">
        <v>4573.5</v>
      </c>
      <c r="G519" t="s">
        <v>34</v>
      </c>
      <c r="H519" t="s">
        <v>43</v>
      </c>
      <c r="I519" t="s">
        <v>46</v>
      </c>
    </row>
    <row r="520" spans="1:9" x14ac:dyDescent="0.25">
      <c r="A520" s="2">
        <v>45627</v>
      </c>
      <c r="B520">
        <v>32</v>
      </c>
      <c r="C520">
        <v>10</v>
      </c>
      <c r="D520" s="3">
        <v>500.83</v>
      </c>
      <c r="E520">
        <v>4</v>
      </c>
      <c r="F520">
        <v>239.13</v>
      </c>
      <c r="G520" t="s">
        <v>33</v>
      </c>
      <c r="H520" t="s">
        <v>44</v>
      </c>
      <c r="I520" t="s">
        <v>46</v>
      </c>
    </row>
    <row r="521" spans="1:9" x14ac:dyDescent="0.25">
      <c r="A521" s="2">
        <v>45627</v>
      </c>
      <c r="B521">
        <v>61</v>
      </c>
      <c r="C521">
        <v>13</v>
      </c>
      <c r="D521" s="3">
        <v>356.61</v>
      </c>
      <c r="E521">
        <v>7</v>
      </c>
      <c r="F521">
        <v>4099.6400000000003</v>
      </c>
      <c r="G521" t="s">
        <v>9</v>
      </c>
      <c r="H521" t="s">
        <v>39</v>
      </c>
      <c r="I521" t="s">
        <v>46</v>
      </c>
    </row>
    <row r="522" spans="1:9" x14ac:dyDescent="0.25">
      <c r="A522" s="2">
        <v>45627</v>
      </c>
      <c r="B522">
        <v>84</v>
      </c>
      <c r="C522">
        <v>14</v>
      </c>
      <c r="D522" s="3">
        <v>370.36</v>
      </c>
      <c r="E522">
        <v>0</v>
      </c>
      <c r="F522">
        <v>2605.02</v>
      </c>
      <c r="G522" t="s">
        <v>32</v>
      </c>
      <c r="H522" t="s">
        <v>36</v>
      </c>
      <c r="I522" t="s">
        <v>45</v>
      </c>
    </row>
    <row r="523" spans="1:9" x14ac:dyDescent="0.25">
      <c r="A523" s="2">
        <v>45627</v>
      </c>
      <c r="B523">
        <v>94</v>
      </c>
      <c r="C523">
        <v>6</v>
      </c>
      <c r="D523" s="3">
        <v>537.26</v>
      </c>
      <c r="E523">
        <v>1</v>
      </c>
      <c r="F523">
        <v>3665.55</v>
      </c>
      <c r="G523" t="s">
        <v>30</v>
      </c>
      <c r="H523" t="s">
        <v>36</v>
      </c>
      <c r="I523" t="s">
        <v>45</v>
      </c>
    </row>
    <row r="524" spans="1:9" x14ac:dyDescent="0.25">
      <c r="A524" s="2">
        <v>45627</v>
      </c>
      <c r="B524">
        <v>21</v>
      </c>
      <c r="C524">
        <v>17</v>
      </c>
      <c r="D524" s="3">
        <v>297.83999999999997</v>
      </c>
      <c r="E524">
        <v>1</v>
      </c>
      <c r="F524">
        <v>1553.7</v>
      </c>
      <c r="G524" t="s">
        <v>29</v>
      </c>
      <c r="H524" t="s">
        <v>41</v>
      </c>
      <c r="I524" t="s">
        <v>46</v>
      </c>
    </row>
    <row r="525" spans="1:9" x14ac:dyDescent="0.25">
      <c r="A525" s="2">
        <v>45627</v>
      </c>
      <c r="B525">
        <v>74</v>
      </c>
      <c r="C525">
        <v>14</v>
      </c>
      <c r="D525" s="3">
        <v>508.85</v>
      </c>
      <c r="E525">
        <v>1</v>
      </c>
      <c r="F525">
        <v>1182.6300000000001</v>
      </c>
      <c r="G525" t="s">
        <v>28</v>
      </c>
      <c r="H525" t="s">
        <v>43</v>
      </c>
      <c r="I525" t="s">
        <v>46</v>
      </c>
    </row>
    <row r="526" spans="1:9" x14ac:dyDescent="0.25">
      <c r="A526" s="2">
        <v>45627</v>
      </c>
      <c r="B526">
        <v>99</v>
      </c>
      <c r="C526">
        <v>15</v>
      </c>
      <c r="D526" s="3">
        <v>181.12</v>
      </c>
      <c r="E526">
        <v>5</v>
      </c>
      <c r="F526">
        <v>454.09</v>
      </c>
      <c r="G526" t="s">
        <v>27</v>
      </c>
      <c r="H526" t="s">
        <v>40</v>
      </c>
      <c r="I526" t="s">
        <v>46</v>
      </c>
    </row>
    <row r="527" spans="1:9" x14ac:dyDescent="0.25">
      <c r="A527" s="2">
        <v>45627</v>
      </c>
      <c r="B527">
        <v>26</v>
      </c>
      <c r="C527">
        <v>13</v>
      </c>
      <c r="D527" s="3">
        <v>543.15</v>
      </c>
      <c r="E527">
        <v>6</v>
      </c>
      <c r="F527">
        <v>3793.56</v>
      </c>
      <c r="G527" t="s">
        <v>26</v>
      </c>
      <c r="H527" t="s">
        <v>43</v>
      </c>
      <c r="I527" t="s">
        <v>45</v>
      </c>
    </row>
    <row r="528" spans="1:9" x14ac:dyDescent="0.25">
      <c r="A528" s="2">
        <v>45627</v>
      </c>
      <c r="B528">
        <v>74</v>
      </c>
      <c r="C528">
        <v>6</v>
      </c>
      <c r="D528" s="3">
        <v>87.83</v>
      </c>
      <c r="E528">
        <v>6</v>
      </c>
      <c r="F528">
        <v>3741.27</v>
      </c>
      <c r="G528" t="s">
        <v>25</v>
      </c>
      <c r="H528" t="s">
        <v>35</v>
      </c>
      <c r="I528" t="s">
        <v>45</v>
      </c>
    </row>
    <row r="529" spans="1:9" x14ac:dyDescent="0.25">
      <c r="A529" s="2">
        <v>45627</v>
      </c>
      <c r="B529">
        <v>88</v>
      </c>
      <c r="C529">
        <v>5</v>
      </c>
      <c r="D529" s="3">
        <v>168.89</v>
      </c>
      <c r="E529">
        <v>3</v>
      </c>
      <c r="F529">
        <v>1153.93</v>
      </c>
      <c r="G529" t="s">
        <v>24</v>
      </c>
      <c r="H529" t="s">
        <v>41</v>
      </c>
      <c r="I529" t="s">
        <v>46</v>
      </c>
    </row>
    <row r="530" spans="1:9" x14ac:dyDescent="0.25">
      <c r="A530" s="2">
        <v>45627</v>
      </c>
      <c r="B530">
        <v>57</v>
      </c>
      <c r="C530">
        <v>7</v>
      </c>
      <c r="D530" s="3">
        <v>190.08</v>
      </c>
      <c r="E530">
        <v>2</v>
      </c>
      <c r="F530">
        <v>649.97</v>
      </c>
      <c r="G530" t="s">
        <v>23</v>
      </c>
      <c r="H530" t="s">
        <v>35</v>
      </c>
      <c r="I530" t="s">
        <v>45</v>
      </c>
    </row>
    <row r="531" spans="1:9" x14ac:dyDescent="0.25">
      <c r="A531" s="2">
        <v>45627</v>
      </c>
      <c r="B531">
        <v>31</v>
      </c>
      <c r="C531">
        <v>6</v>
      </c>
      <c r="D531" s="3">
        <v>191.66</v>
      </c>
      <c r="E531">
        <v>2</v>
      </c>
      <c r="F531">
        <v>3753.06</v>
      </c>
      <c r="G531" t="s">
        <v>22</v>
      </c>
      <c r="H531" t="s">
        <v>36</v>
      </c>
      <c r="I531" t="s">
        <v>45</v>
      </c>
    </row>
    <row r="532" spans="1:9" x14ac:dyDescent="0.25">
      <c r="A532" s="2">
        <v>45627</v>
      </c>
      <c r="B532">
        <v>77</v>
      </c>
      <c r="C532">
        <v>16</v>
      </c>
      <c r="D532" s="3">
        <v>539.26</v>
      </c>
      <c r="E532">
        <v>3</v>
      </c>
      <c r="F532">
        <v>379.83</v>
      </c>
      <c r="G532" t="s">
        <v>21</v>
      </c>
      <c r="H532" t="s">
        <v>39</v>
      </c>
      <c r="I532" t="s">
        <v>45</v>
      </c>
    </row>
    <row r="533" spans="1:9" x14ac:dyDescent="0.25">
      <c r="A533" s="2">
        <v>45627</v>
      </c>
      <c r="B533">
        <v>83</v>
      </c>
      <c r="C533">
        <v>9</v>
      </c>
      <c r="D533" s="3">
        <v>188.49</v>
      </c>
      <c r="E533">
        <v>7</v>
      </c>
      <c r="F533">
        <v>545.09</v>
      </c>
      <c r="G533" t="s">
        <v>31</v>
      </c>
      <c r="H533" t="s">
        <v>36</v>
      </c>
      <c r="I533" t="s">
        <v>45</v>
      </c>
    </row>
    <row r="534" spans="1:9" x14ac:dyDescent="0.25">
      <c r="A534" s="2">
        <v>45627</v>
      </c>
      <c r="B534">
        <v>18</v>
      </c>
      <c r="C534">
        <v>6</v>
      </c>
      <c r="D534" s="3">
        <v>212.39</v>
      </c>
      <c r="E534">
        <v>3</v>
      </c>
      <c r="F534">
        <v>730.81</v>
      </c>
      <c r="G534" t="s">
        <v>19</v>
      </c>
      <c r="H534" t="s">
        <v>37</v>
      </c>
      <c r="I534" t="s">
        <v>46</v>
      </c>
    </row>
    <row r="535" spans="1:9" x14ac:dyDescent="0.25">
      <c r="A535" s="2">
        <v>45627</v>
      </c>
      <c r="B535">
        <v>69</v>
      </c>
      <c r="C535">
        <v>16</v>
      </c>
      <c r="D535" s="3">
        <v>337.7</v>
      </c>
      <c r="E535">
        <v>9</v>
      </c>
      <c r="F535">
        <v>947.47</v>
      </c>
      <c r="G535" t="s">
        <v>18</v>
      </c>
      <c r="H535" t="s">
        <v>41</v>
      </c>
      <c r="I535" t="s">
        <v>45</v>
      </c>
    </row>
    <row r="536" spans="1:9" x14ac:dyDescent="0.25">
      <c r="A536" s="2">
        <v>45627</v>
      </c>
      <c r="B536">
        <v>28</v>
      </c>
      <c r="C536">
        <v>19</v>
      </c>
      <c r="D536" s="3">
        <v>352.06</v>
      </c>
      <c r="E536">
        <v>9</v>
      </c>
      <c r="F536">
        <v>1107.51</v>
      </c>
      <c r="G536" t="s">
        <v>17</v>
      </c>
      <c r="H536" t="s">
        <v>44</v>
      </c>
      <c r="I536" t="s">
        <v>45</v>
      </c>
    </row>
    <row r="537" spans="1:9" x14ac:dyDescent="0.25">
      <c r="A537" s="2">
        <v>45627</v>
      </c>
      <c r="B537">
        <v>50</v>
      </c>
      <c r="C537">
        <v>6</v>
      </c>
      <c r="D537" s="3">
        <v>219.19</v>
      </c>
      <c r="E537">
        <v>4</v>
      </c>
      <c r="F537">
        <v>3836.95</v>
      </c>
      <c r="G537" t="s">
        <v>16</v>
      </c>
      <c r="H537" t="s">
        <v>42</v>
      </c>
      <c r="I537" t="s">
        <v>45</v>
      </c>
    </row>
    <row r="538" spans="1:9" x14ac:dyDescent="0.25">
      <c r="A538" s="2">
        <v>45627</v>
      </c>
      <c r="B538">
        <v>84</v>
      </c>
      <c r="C538">
        <v>19</v>
      </c>
      <c r="D538" s="3">
        <v>301.2</v>
      </c>
      <c r="E538">
        <v>2</v>
      </c>
      <c r="F538">
        <v>2608.4699999999998</v>
      </c>
      <c r="G538" t="s">
        <v>15</v>
      </c>
      <c r="H538" t="s">
        <v>42</v>
      </c>
      <c r="I538" t="s">
        <v>45</v>
      </c>
    </row>
    <row r="539" spans="1:9" x14ac:dyDescent="0.25">
      <c r="A539" s="2">
        <v>45627</v>
      </c>
      <c r="B539">
        <v>70</v>
      </c>
      <c r="C539">
        <v>6</v>
      </c>
      <c r="D539" s="3">
        <v>488.97</v>
      </c>
      <c r="E539">
        <v>3</v>
      </c>
      <c r="F539">
        <v>3767.09</v>
      </c>
      <c r="G539" t="s">
        <v>14</v>
      </c>
      <c r="H539" t="s">
        <v>39</v>
      </c>
      <c r="I539" t="s">
        <v>46</v>
      </c>
    </row>
    <row r="540" spans="1:9" x14ac:dyDescent="0.25">
      <c r="A540" s="2">
        <v>45627</v>
      </c>
      <c r="B540">
        <v>101</v>
      </c>
      <c r="C540">
        <v>14</v>
      </c>
      <c r="D540" s="3">
        <v>503.93</v>
      </c>
      <c r="E540">
        <v>5</v>
      </c>
      <c r="F540">
        <v>1116.6099999999999</v>
      </c>
      <c r="G540" t="s">
        <v>13</v>
      </c>
      <c r="H540" t="s">
        <v>43</v>
      </c>
      <c r="I540" t="s">
        <v>46</v>
      </c>
    </row>
    <row r="541" spans="1:9" x14ac:dyDescent="0.25">
      <c r="A541" s="2">
        <v>45627</v>
      </c>
      <c r="B541">
        <v>20</v>
      </c>
      <c r="C541">
        <v>5</v>
      </c>
      <c r="D541" s="3">
        <v>71.41</v>
      </c>
      <c r="E541">
        <v>3</v>
      </c>
      <c r="F541">
        <v>1527.27</v>
      </c>
      <c r="G541" t="s">
        <v>12</v>
      </c>
      <c r="H541" t="s">
        <v>40</v>
      </c>
      <c r="I541" t="s">
        <v>45</v>
      </c>
    </row>
    <row r="542" spans="1:9" x14ac:dyDescent="0.25">
      <c r="A542" s="2">
        <v>45627</v>
      </c>
      <c r="B542">
        <v>51</v>
      </c>
      <c r="C542">
        <v>14</v>
      </c>
      <c r="D542" s="3">
        <v>419.93</v>
      </c>
      <c r="E542">
        <v>2</v>
      </c>
      <c r="F542">
        <v>3543.6</v>
      </c>
      <c r="G542" t="s">
        <v>11</v>
      </c>
      <c r="H542" t="s">
        <v>39</v>
      </c>
      <c r="I542" t="s">
        <v>46</v>
      </c>
    </row>
    <row r="543" spans="1:9" x14ac:dyDescent="0.25">
      <c r="A543" s="2">
        <v>45627</v>
      </c>
      <c r="B543">
        <v>40</v>
      </c>
      <c r="C543">
        <v>7</v>
      </c>
      <c r="D543" s="3">
        <v>486.93</v>
      </c>
      <c r="E543">
        <v>7</v>
      </c>
      <c r="F543">
        <v>3643.63</v>
      </c>
      <c r="G543" t="s">
        <v>20</v>
      </c>
      <c r="H543" t="s">
        <v>44</v>
      </c>
      <c r="I543" t="s">
        <v>45</v>
      </c>
    </row>
    <row r="544" spans="1:9" x14ac:dyDescent="0.25">
      <c r="A544" s="2">
        <v>45627</v>
      </c>
      <c r="B544">
        <v>80</v>
      </c>
      <c r="C544">
        <v>13</v>
      </c>
      <c r="D544" s="3">
        <v>369.46</v>
      </c>
      <c r="E544">
        <v>4</v>
      </c>
      <c r="F544">
        <v>3996.04</v>
      </c>
      <c r="G544" t="s">
        <v>10</v>
      </c>
      <c r="H544" t="s">
        <v>35</v>
      </c>
      <c r="I544" t="s">
        <v>45</v>
      </c>
    </row>
    <row r="545" spans="1:9" x14ac:dyDescent="0.25">
      <c r="A545" s="2">
        <v>45628</v>
      </c>
      <c r="B545">
        <v>53</v>
      </c>
      <c r="C545">
        <v>35</v>
      </c>
      <c r="D545" s="3">
        <v>456.67479294227621</v>
      </c>
      <c r="E545">
        <v>26</v>
      </c>
      <c r="F545">
        <v>4774.8253277760141</v>
      </c>
      <c r="G545" t="s">
        <v>12</v>
      </c>
      <c r="H545" t="s">
        <v>38</v>
      </c>
      <c r="I545" t="s">
        <v>45</v>
      </c>
    </row>
    <row r="546" spans="1:9" x14ac:dyDescent="0.25">
      <c r="A546" s="2">
        <v>45629</v>
      </c>
      <c r="B546">
        <v>60</v>
      </c>
      <c r="C546">
        <v>43</v>
      </c>
      <c r="D546" s="3">
        <v>547.60341884359968</v>
      </c>
      <c r="E546">
        <v>33</v>
      </c>
      <c r="F546">
        <v>4038.5525648699841</v>
      </c>
      <c r="G546" t="s">
        <v>34</v>
      </c>
      <c r="H546" t="s">
        <v>37</v>
      </c>
      <c r="I546" t="s">
        <v>45</v>
      </c>
    </row>
    <row r="547" spans="1:9" x14ac:dyDescent="0.25">
      <c r="A547" s="2">
        <v>45630</v>
      </c>
      <c r="B547">
        <v>66</v>
      </c>
      <c r="C547">
        <v>16</v>
      </c>
      <c r="D547" s="3">
        <v>355.83872105783303</v>
      </c>
      <c r="E547">
        <v>26</v>
      </c>
      <c r="F547">
        <v>902.34951040516785</v>
      </c>
      <c r="G547" t="s">
        <v>48</v>
      </c>
      <c r="H547" t="s">
        <v>35</v>
      </c>
      <c r="I547" t="s">
        <v>45</v>
      </c>
    </row>
    <row r="548" spans="1:9" x14ac:dyDescent="0.25">
      <c r="A548" s="2">
        <v>45631</v>
      </c>
      <c r="B548">
        <v>87</v>
      </c>
      <c r="C548">
        <v>77</v>
      </c>
      <c r="D548" s="3">
        <v>366.0567426326578</v>
      </c>
      <c r="E548">
        <v>16</v>
      </c>
      <c r="F548">
        <v>2379.113491032178</v>
      </c>
      <c r="G548" t="s">
        <v>34</v>
      </c>
      <c r="H548" t="s">
        <v>40</v>
      </c>
      <c r="I548" t="s">
        <v>45</v>
      </c>
    </row>
    <row r="549" spans="1:9" x14ac:dyDescent="0.25">
      <c r="A549" s="2">
        <v>45632</v>
      </c>
      <c r="B549">
        <v>73</v>
      </c>
      <c r="C549">
        <v>67</v>
      </c>
      <c r="D549" s="3">
        <v>153.58600566988801</v>
      </c>
      <c r="E549">
        <v>23</v>
      </c>
      <c r="F549">
        <v>4456.0323840297406</v>
      </c>
      <c r="G549" t="s">
        <v>18</v>
      </c>
      <c r="H549" t="s">
        <v>44</v>
      </c>
      <c r="I549" t="s">
        <v>45</v>
      </c>
    </row>
    <row r="550" spans="1:9" x14ac:dyDescent="0.25">
      <c r="A550" s="2">
        <v>45635</v>
      </c>
      <c r="B550">
        <v>54</v>
      </c>
      <c r="C550">
        <v>38</v>
      </c>
      <c r="D550" s="3">
        <v>323.70618341172741</v>
      </c>
      <c r="E550">
        <v>24</v>
      </c>
      <c r="F550">
        <v>4751.2941003113456</v>
      </c>
      <c r="G550" t="s">
        <v>18</v>
      </c>
      <c r="H550" t="s">
        <v>35</v>
      </c>
      <c r="I550" t="s">
        <v>46</v>
      </c>
    </row>
    <row r="551" spans="1:9" x14ac:dyDescent="0.25">
      <c r="A551" s="2">
        <v>45636</v>
      </c>
      <c r="B551">
        <v>83</v>
      </c>
      <c r="C551">
        <v>45</v>
      </c>
      <c r="D551" s="3">
        <v>366.30863322751162</v>
      </c>
      <c r="E551">
        <v>6</v>
      </c>
      <c r="F551">
        <v>2603.3068006244139</v>
      </c>
      <c r="G551" t="s">
        <v>18</v>
      </c>
      <c r="H551" t="s">
        <v>44</v>
      </c>
      <c r="I551" t="s">
        <v>46</v>
      </c>
    </row>
    <row r="552" spans="1:9" x14ac:dyDescent="0.25">
      <c r="A552" s="2">
        <v>45637</v>
      </c>
      <c r="B552">
        <v>55</v>
      </c>
      <c r="C552">
        <v>30</v>
      </c>
      <c r="D552" s="3">
        <v>221.2352518173648</v>
      </c>
      <c r="E552">
        <v>5</v>
      </c>
      <c r="F552">
        <v>3260.351251448184</v>
      </c>
      <c r="G552" t="s">
        <v>47</v>
      </c>
      <c r="H552" t="s">
        <v>44</v>
      </c>
      <c r="I552" t="s">
        <v>45</v>
      </c>
    </row>
    <row r="553" spans="1:9" x14ac:dyDescent="0.25">
      <c r="A553" s="2">
        <v>45638</v>
      </c>
      <c r="B553">
        <v>71</v>
      </c>
      <c r="C553">
        <v>45</v>
      </c>
      <c r="D553" s="3">
        <v>234.62161547469049</v>
      </c>
      <c r="E553">
        <v>23</v>
      </c>
      <c r="F553">
        <v>1251.652757414339</v>
      </c>
      <c r="G553" t="s">
        <v>34</v>
      </c>
      <c r="H553" t="s">
        <v>44</v>
      </c>
      <c r="I553" t="s">
        <v>46</v>
      </c>
    </row>
    <row r="554" spans="1:9" x14ac:dyDescent="0.25">
      <c r="A554" s="2">
        <v>45639</v>
      </c>
      <c r="B554">
        <v>60</v>
      </c>
      <c r="C554">
        <v>19</v>
      </c>
      <c r="D554" s="3">
        <v>288.64208155231131</v>
      </c>
      <c r="E554">
        <v>32</v>
      </c>
      <c r="F554">
        <v>4960.2588176163936</v>
      </c>
      <c r="G554" t="s">
        <v>48</v>
      </c>
      <c r="H554" t="s">
        <v>42</v>
      </c>
      <c r="I554" t="s">
        <v>46</v>
      </c>
    </row>
    <row r="555" spans="1:9" x14ac:dyDescent="0.25">
      <c r="A555" s="2">
        <v>45642</v>
      </c>
      <c r="B555">
        <v>97</v>
      </c>
      <c r="C555">
        <v>33</v>
      </c>
      <c r="D555" s="3">
        <v>110.03559888886321</v>
      </c>
      <c r="E555">
        <v>28</v>
      </c>
      <c r="F555">
        <v>1542.522656225495</v>
      </c>
      <c r="G555" t="s">
        <v>10</v>
      </c>
      <c r="H555" t="s">
        <v>44</v>
      </c>
      <c r="I555" t="s">
        <v>46</v>
      </c>
    </row>
    <row r="556" spans="1:9" x14ac:dyDescent="0.25">
      <c r="A556" s="2">
        <v>45643</v>
      </c>
      <c r="B556">
        <v>65</v>
      </c>
      <c r="C556">
        <v>73</v>
      </c>
      <c r="D556" s="3">
        <v>261.03958279158923</v>
      </c>
      <c r="E556">
        <v>21</v>
      </c>
      <c r="F556">
        <v>4742.2929836080657</v>
      </c>
      <c r="G556" t="s">
        <v>48</v>
      </c>
      <c r="H556" t="s">
        <v>44</v>
      </c>
      <c r="I556" t="s">
        <v>46</v>
      </c>
    </row>
    <row r="557" spans="1:9" x14ac:dyDescent="0.25">
      <c r="A557" s="2">
        <v>45644</v>
      </c>
      <c r="B557">
        <v>82</v>
      </c>
      <c r="C557">
        <v>58</v>
      </c>
      <c r="D557" s="3">
        <v>205.72400349827231</v>
      </c>
      <c r="E557">
        <v>25</v>
      </c>
      <c r="F557">
        <v>3423.4099204656582</v>
      </c>
      <c r="G557" t="s">
        <v>9</v>
      </c>
      <c r="H557" t="s">
        <v>40</v>
      </c>
      <c r="I557" t="s">
        <v>45</v>
      </c>
    </row>
    <row r="558" spans="1:9" x14ac:dyDescent="0.25">
      <c r="A558" s="2">
        <v>45645</v>
      </c>
      <c r="B558">
        <v>58</v>
      </c>
      <c r="C558">
        <v>45</v>
      </c>
      <c r="D558" s="3">
        <v>263.74867608895732</v>
      </c>
      <c r="E558">
        <v>27</v>
      </c>
      <c r="F558">
        <v>3234.8155769548662</v>
      </c>
      <c r="G558" t="s">
        <v>9</v>
      </c>
      <c r="H558" t="s">
        <v>37</v>
      </c>
      <c r="I558" t="s">
        <v>46</v>
      </c>
    </row>
    <row r="559" spans="1:9" x14ac:dyDescent="0.25">
      <c r="A559" s="2">
        <v>45646</v>
      </c>
      <c r="B559">
        <v>55</v>
      </c>
      <c r="C559">
        <v>33</v>
      </c>
      <c r="D559" s="3">
        <v>159.88106590962559</v>
      </c>
      <c r="E559">
        <v>20</v>
      </c>
      <c r="F559">
        <v>2807.0982995742888</v>
      </c>
      <c r="G559" t="s">
        <v>12</v>
      </c>
      <c r="H559" t="s">
        <v>36</v>
      </c>
      <c r="I559" t="s">
        <v>46</v>
      </c>
    </row>
    <row r="560" spans="1:9" x14ac:dyDescent="0.25">
      <c r="A560" s="2">
        <v>45649</v>
      </c>
      <c r="B560">
        <v>65</v>
      </c>
      <c r="C560">
        <v>32</v>
      </c>
      <c r="D560" s="3">
        <v>545.26364036994755</v>
      </c>
      <c r="E560">
        <v>6</v>
      </c>
      <c r="F560">
        <v>1538.014152729914</v>
      </c>
      <c r="G560" t="s">
        <v>10</v>
      </c>
      <c r="H560" t="s">
        <v>43</v>
      </c>
      <c r="I560" t="s">
        <v>46</v>
      </c>
    </row>
    <row r="561" spans="1:9" x14ac:dyDescent="0.25">
      <c r="A561" s="2">
        <v>45650</v>
      </c>
      <c r="B561">
        <v>78</v>
      </c>
      <c r="C561">
        <v>71</v>
      </c>
      <c r="D561" s="3">
        <v>396.79622677702429</v>
      </c>
      <c r="E561">
        <v>16</v>
      </c>
      <c r="F561">
        <v>1294.376144024787</v>
      </c>
      <c r="G561" t="s">
        <v>9</v>
      </c>
      <c r="H561" t="s">
        <v>40</v>
      </c>
      <c r="I561" t="s">
        <v>45</v>
      </c>
    </row>
    <row r="562" spans="1:9" x14ac:dyDescent="0.25">
      <c r="A562" s="2">
        <v>45651</v>
      </c>
      <c r="B562">
        <v>52</v>
      </c>
      <c r="C562">
        <v>46</v>
      </c>
      <c r="D562" s="3">
        <v>439.55115957224479</v>
      </c>
      <c r="E562">
        <v>19</v>
      </c>
      <c r="F562">
        <v>1492.187940815789</v>
      </c>
      <c r="G562" t="s">
        <v>18</v>
      </c>
      <c r="H562" t="s">
        <v>36</v>
      </c>
      <c r="I562" t="s">
        <v>45</v>
      </c>
    </row>
    <row r="563" spans="1:9" x14ac:dyDescent="0.25">
      <c r="A563" s="2">
        <v>45652</v>
      </c>
      <c r="B563">
        <v>69</v>
      </c>
      <c r="C563">
        <v>21</v>
      </c>
      <c r="D563" s="3">
        <v>494.58561930366909</v>
      </c>
      <c r="E563">
        <v>19</v>
      </c>
      <c r="F563">
        <v>1338.9721796491449</v>
      </c>
      <c r="G563" t="s">
        <v>48</v>
      </c>
      <c r="H563" t="s">
        <v>44</v>
      </c>
      <c r="I563" t="s">
        <v>45</v>
      </c>
    </row>
    <row r="564" spans="1:9" x14ac:dyDescent="0.25">
      <c r="A564" s="2">
        <v>45653</v>
      </c>
      <c r="B564">
        <v>85</v>
      </c>
      <c r="C564">
        <v>64</v>
      </c>
      <c r="D564" s="3">
        <v>349.22109946452861</v>
      </c>
      <c r="E564">
        <v>21</v>
      </c>
      <c r="F564">
        <v>4008.13013105039</v>
      </c>
      <c r="G564" t="s">
        <v>34</v>
      </c>
      <c r="H564" t="s">
        <v>37</v>
      </c>
      <c r="I564" t="s">
        <v>45</v>
      </c>
    </row>
    <row r="565" spans="1:9" x14ac:dyDescent="0.25">
      <c r="A565" s="2">
        <v>45656</v>
      </c>
      <c r="B565">
        <v>68</v>
      </c>
      <c r="C565">
        <v>22</v>
      </c>
      <c r="D565" s="3">
        <v>143.46014404371181</v>
      </c>
      <c r="E565">
        <v>27</v>
      </c>
      <c r="F565">
        <v>2075.5636662502861</v>
      </c>
      <c r="G565" t="s">
        <v>18</v>
      </c>
      <c r="H565" t="s">
        <v>35</v>
      </c>
      <c r="I565" t="s">
        <v>45</v>
      </c>
    </row>
    <row r="566" spans="1:9" x14ac:dyDescent="0.25">
      <c r="A566" s="2">
        <v>45657</v>
      </c>
      <c r="B566">
        <v>75</v>
      </c>
      <c r="C566">
        <v>32</v>
      </c>
      <c r="D566" s="3">
        <v>368.55327090927392</v>
      </c>
      <c r="E566">
        <v>39</v>
      </c>
      <c r="F566">
        <v>760.29204453528359</v>
      </c>
      <c r="G566" t="s">
        <v>47</v>
      </c>
      <c r="H566" t="s">
        <v>37</v>
      </c>
      <c r="I566"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EFD08-F8A5-4339-A124-AB23C4B42C5B}">
  <dimension ref="A1:P566"/>
  <sheetViews>
    <sheetView topLeftCell="I1" zoomScale="98" zoomScaleNormal="98" workbookViewId="0">
      <selection activeCell="M16" sqref="M16"/>
    </sheetView>
  </sheetViews>
  <sheetFormatPr defaultRowHeight="15" x14ac:dyDescent="0.25"/>
  <cols>
    <col min="1" max="1" width="17.85546875" bestFit="1" customWidth="1"/>
    <col min="2" max="2" width="17.85546875" customWidth="1"/>
    <col min="3" max="3" width="14.5703125" bestFit="1" customWidth="1"/>
    <col min="4" max="4" width="17.85546875" bestFit="1" customWidth="1"/>
    <col min="5" max="5" width="27.140625" customWidth="1"/>
    <col min="6" max="6" width="16.85546875" bestFit="1" customWidth="1"/>
    <col min="7" max="7" width="18.140625" bestFit="1" customWidth="1"/>
    <col min="8" max="8" width="15.140625" bestFit="1" customWidth="1"/>
    <col min="9" max="9" width="14.7109375" bestFit="1" customWidth="1"/>
    <col min="10" max="10" width="16.5703125" bestFit="1" customWidth="1"/>
    <col min="11" max="11" width="12.28515625" bestFit="1" customWidth="1"/>
    <col min="12" max="12" width="15.28515625" style="5" bestFit="1" customWidth="1"/>
    <col min="13" max="13" width="20.140625" style="5" bestFit="1" customWidth="1"/>
    <col min="14" max="14" width="21.42578125" bestFit="1" customWidth="1"/>
    <col min="15" max="15" width="20.7109375" bestFit="1" customWidth="1"/>
    <col min="16" max="16" width="24.140625" bestFit="1" customWidth="1"/>
  </cols>
  <sheetData>
    <row r="1" spans="1:16" x14ac:dyDescent="0.25">
      <c r="A1" s="1" t="s">
        <v>0</v>
      </c>
      <c r="B1" s="1" t="s">
        <v>87</v>
      </c>
      <c r="C1" s="1" t="s">
        <v>1</v>
      </c>
      <c r="D1" s="1" t="s">
        <v>2</v>
      </c>
      <c r="E1" s="1" t="s">
        <v>3</v>
      </c>
      <c r="F1" s="1" t="s">
        <v>4</v>
      </c>
      <c r="G1" s="1" t="s">
        <v>5</v>
      </c>
      <c r="H1" s="1" t="s">
        <v>6</v>
      </c>
      <c r="I1" s="1" t="s">
        <v>7</v>
      </c>
      <c r="J1" s="1" t="s">
        <v>50</v>
      </c>
      <c r="K1" s="1" t="s">
        <v>8</v>
      </c>
      <c r="L1" s="4" t="s">
        <v>51</v>
      </c>
      <c r="M1" s="4" t="s">
        <v>52</v>
      </c>
      <c r="N1" s="1" t="s">
        <v>53</v>
      </c>
      <c r="O1" s="1" t="s">
        <v>54</v>
      </c>
      <c r="P1" s="1" t="s">
        <v>55</v>
      </c>
    </row>
    <row r="2" spans="1:16" x14ac:dyDescent="0.25">
      <c r="A2" s="2">
        <v>45292</v>
      </c>
      <c r="B2" s="2" t="str">
        <f>TEXT(Table134[[#This Row],[Date]],"MMM")</f>
        <v>Jan</v>
      </c>
      <c r="C2">
        <v>74</v>
      </c>
      <c r="D2">
        <v>12</v>
      </c>
      <c r="E2" s="3">
        <v>330.42</v>
      </c>
      <c r="F2">
        <v>7</v>
      </c>
      <c r="G2" s="6">
        <v>4276.3100000000004</v>
      </c>
      <c r="H2" t="s">
        <v>9</v>
      </c>
      <c r="I2" t="s">
        <v>35</v>
      </c>
      <c r="J2" t="str">
        <f>Table134[[#This Row],[First Name]]&amp;" "&amp;Table134[[#This Row],[Last Name]]</f>
        <v>Evan Garcia</v>
      </c>
      <c r="K2" t="s">
        <v>45</v>
      </c>
      <c r="L2" s="5">
        <f>Table134[[#This Row],[Calls Reached]]/Table134[[#This Row],[Total Calls]]</f>
        <v>0.16216216216216217</v>
      </c>
      <c r="M2" s="5">
        <f>Table134[[#This Row],[Deals Closed]]/Table134[[#This Row],[Calls Reached]]</f>
        <v>0.58333333333333337</v>
      </c>
      <c r="N2" s="6">
        <f>IFERROR(Table134[[#This Row],[Deal Value ($)]]/Table134[[#This Row],[Deals Closed]],0)</f>
        <v>610.9014285714286</v>
      </c>
      <c r="O2" s="6">
        <f>Table134[[#This Row],[Deal Value ($)]]/Table134[[#This Row],[Total Calls]]</f>
        <v>57.78797297297298</v>
      </c>
      <c r="P2" t="str">
        <f>IF(Table134[[#This Row],[Conversion Rate]]&gt;=20%,"High","Low")</f>
        <v>High</v>
      </c>
    </row>
    <row r="3" spans="1:16" x14ac:dyDescent="0.25">
      <c r="A3" s="2">
        <v>45292</v>
      </c>
      <c r="B3" s="2" t="str">
        <f>TEXT(Table134[[#This Row],[Date]],"MMM")</f>
        <v>Jan</v>
      </c>
      <c r="C3">
        <v>43</v>
      </c>
      <c r="D3">
        <v>15</v>
      </c>
      <c r="E3" s="3">
        <v>363.48</v>
      </c>
      <c r="F3">
        <v>7</v>
      </c>
      <c r="G3" s="6">
        <v>3843.52</v>
      </c>
      <c r="H3" t="s">
        <v>34</v>
      </c>
      <c r="I3" t="s">
        <v>43</v>
      </c>
      <c r="J3" t="str">
        <f>Table134[[#This Row],[First Name]]&amp;" "&amp;Table134[[#This Row],[Last Name]]</f>
        <v>Mimi Williams</v>
      </c>
      <c r="K3" t="s">
        <v>46</v>
      </c>
      <c r="L3" s="5">
        <f>Table134[[#This Row],[Calls Reached]]/Table134[[#This Row],[Total Calls]]</f>
        <v>0.34883720930232559</v>
      </c>
      <c r="M3" s="5">
        <f>Table134[[#This Row],[Deals Closed]]/Table134[[#This Row],[Calls Reached]]</f>
        <v>0.46666666666666667</v>
      </c>
      <c r="N3" s="6">
        <f>IFERROR(Table134[[#This Row],[Deal Value ($)]]/Table134[[#This Row],[Deals Closed]],0)</f>
        <v>549.07428571428568</v>
      </c>
      <c r="O3" s="6">
        <f>Table134[[#This Row],[Deal Value ($)]]/Table134[[#This Row],[Total Calls]]</f>
        <v>89.38418604651163</v>
      </c>
      <c r="P3" t="str">
        <f>IF(Table134[[#This Row],[Conversion Rate]]&gt;=20%,"High","Low")</f>
        <v>High</v>
      </c>
    </row>
    <row r="4" spans="1:16" x14ac:dyDescent="0.25">
      <c r="A4" s="2">
        <v>45292</v>
      </c>
      <c r="B4" s="2" t="str">
        <f>TEXT(Table134[[#This Row],[Date]],"MMM")</f>
        <v>Jan</v>
      </c>
      <c r="C4">
        <v>92</v>
      </c>
      <c r="D4">
        <v>13</v>
      </c>
      <c r="E4" s="3">
        <v>422.39</v>
      </c>
      <c r="F4">
        <v>1</v>
      </c>
      <c r="G4" s="6">
        <v>2695.84</v>
      </c>
      <c r="H4" t="s">
        <v>32</v>
      </c>
      <c r="I4" t="s">
        <v>42</v>
      </c>
      <c r="J4" t="str">
        <f>Table134[[#This Row],[First Name]]&amp;" "&amp;Table134[[#This Row],[Last Name]]</f>
        <v>Craig Martinez</v>
      </c>
      <c r="K4" t="s">
        <v>46</v>
      </c>
      <c r="L4" s="5">
        <f>Table134[[#This Row],[Calls Reached]]/Table134[[#This Row],[Total Calls]]</f>
        <v>0.14130434782608695</v>
      </c>
      <c r="M4" s="5">
        <f>Table134[[#This Row],[Deals Closed]]/Table134[[#This Row],[Calls Reached]]</f>
        <v>7.6923076923076927E-2</v>
      </c>
      <c r="N4" s="6">
        <f>IFERROR(Table134[[#This Row],[Deal Value ($)]]/Table134[[#This Row],[Deals Closed]],0)</f>
        <v>2695.84</v>
      </c>
      <c r="O4" s="6">
        <f>Table134[[#This Row],[Deal Value ($)]]/Table134[[#This Row],[Total Calls]]</f>
        <v>29.302608695652175</v>
      </c>
      <c r="P4" t="str">
        <f>IF(Table134[[#This Row],[Conversion Rate]]&gt;=20%,"High","Low")</f>
        <v>Low</v>
      </c>
    </row>
    <row r="5" spans="1:16" x14ac:dyDescent="0.25">
      <c r="A5" s="2">
        <v>45292</v>
      </c>
      <c r="B5" s="2" t="str">
        <f>TEXT(Table134[[#This Row],[Date]],"MMM")</f>
        <v>Jan</v>
      </c>
      <c r="C5">
        <v>63</v>
      </c>
      <c r="D5">
        <v>8</v>
      </c>
      <c r="E5" s="3">
        <v>170.49</v>
      </c>
      <c r="F5">
        <v>7</v>
      </c>
      <c r="G5" s="6">
        <v>526.12</v>
      </c>
      <c r="H5" t="s">
        <v>31</v>
      </c>
      <c r="I5" t="s">
        <v>37</v>
      </c>
      <c r="J5" t="str">
        <f>Table134[[#This Row],[First Name]]&amp;" "&amp;Table134[[#This Row],[Last Name]]</f>
        <v>Josh Johnson</v>
      </c>
      <c r="K5" t="s">
        <v>45</v>
      </c>
      <c r="L5" s="5">
        <f>Table134[[#This Row],[Calls Reached]]/Table134[[#This Row],[Total Calls]]</f>
        <v>0.12698412698412698</v>
      </c>
      <c r="M5" s="5">
        <f>Table134[[#This Row],[Deals Closed]]/Table134[[#This Row],[Calls Reached]]</f>
        <v>0.875</v>
      </c>
      <c r="N5" s="6">
        <f>IFERROR(Table134[[#This Row],[Deal Value ($)]]/Table134[[#This Row],[Deals Closed]],0)</f>
        <v>75.16</v>
      </c>
      <c r="O5" s="6">
        <f>Table134[[#This Row],[Deal Value ($)]]/Table134[[#This Row],[Total Calls]]</f>
        <v>8.3511111111111109</v>
      </c>
      <c r="P5" t="str">
        <f>IF(Table134[[#This Row],[Conversion Rate]]&gt;=20%,"High","Low")</f>
        <v>High</v>
      </c>
    </row>
    <row r="6" spans="1:16" x14ac:dyDescent="0.25">
      <c r="A6" s="2">
        <v>45292</v>
      </c>
      <c r="B6" s="2" t="str">
        <f>TEXT(Table134[[#This Row],[Date]],"MMM")</f>
        <v>Jan</v>
      </c>
      <c r="C6">
        <v>96</v>
      </c>
      <c r="D6">
        <v>80</v>
      </c>
      <c r="E6" s="3">
        <v>532.83000000000004</v>
      </c>
      <c r="F6">
        <v>40</v>
      </c>
      <c r="G6" s="6">
        <v>3173.13</v>
      </c>
      <c r="H6" t="s">
        <v>30</v>
      </c>
      <c r="I6" t="s">
        <v>37</v>
      </c>
      <c r="J6" t="str">
        <f>Table134[[#This Row],[First Name]]&amp;" "&amp;Table134[[#This Row],[Last Name]]</f>
        <v>Emma Johnson</v>
      </c>
      <c r="K6" t="s">
        <v>46</v>
      </c>
      <c r="L6" s="5">
        <f>Table134[[#This Row],[Calls Reached]]/Table134[[#This Row],[Total Calls]]</f>
        <v>0.83333333333333337</v>
      </c>
      <c r="M6" s="5">
        <f>Table134[[#This Row],[Deals Closed]]/Table134[[#This Row],[Calls Reached]]</f>
        <v>0.5</v>
      </c>
      <c r="N6" s="6">
        <f>IFERROR(Table134[[#This Row],[Deal Value ($)]]/Table134[[#This Row],[Deals Closed]],0)</f>
        <v>79.328249999999997</v>
      </c>
      <c r="O6" s="6">
        <f>Table134[[#This Row],[Deal Value ($)]]/Table134[[#This Row],[Total Calls]]</f>
        <v>33.053437500000001</v>
      </c>
      <c r="P6" t="str">
        <f>IF(Table134[[#This Row],[Conversion Rate]]&gt;=20%,"High","Low")</f>
        <v>High</v>
      </c>
    </row>
    <row r="7" spans="1:16" x14ac:dyDescent="0.25">
      <c r="A7" s="2">
        <v>45292</v>
      </c>
      <c r="B7" s="2" t="str">
        <f>TEXT(Table134[[#This Row],[Date]],"MMM")</f>
        <v>Jan</v>
      </c>
      <c r="C7">
        <v>100</v>
      </c>
      <c r="D7">
        <v>60</v>
      </c>
      <c r="E7" s="3">
        <v>279.95</v>
      </c>
      <c r="F7">
        <v>50</v>
      </c>
      <c r="G7" s="6">
        <v>1432.23</v>
      </c>
      <c r="H7" t="s">
        <v>29</v>
      </c>
      <c r="I7" t="s">
        <v>38</v>
      </c>
      <c r="J7" t="str">
        <f>Table134[[#This Row],[First Name]]&amp;" "&amp;Table134[[#This Row],[Last Name]]</f>
        <v>Grace Rodriguez</v>
      </c>
      <c r="K7" t="s">
        <v>45</v>
      </c>
      <c r="L7" s="5">
        <f>Table134[[#This Row],[Calls Reached]]/Table134[[#This Row],[Total Calls]]</f>
        <v>0.6</v>
      </c>
      <c r="M7" s="5">
        <f>Table134[[#This Row],[Deals Closed]]/Table134[[#This Row],[Calls Reached]]</f>
        <v>0.83333333333333337</v>
      </c>
      <c r="N7" s="6">
        <f>IFERROR(Table134[[#This Row],[Deal Value ($)]]/Table134[[#This Row],[Deals Closed]],0)</f>
        <v>28.644600000000001</v>
      </c>
      <c r="O7" s="6">
        <f>Table134[[#This Row],[Deal Value ($)]]/Table134[[#This Row],[Total Calls]]</f>
        <v>14.3223</v>
      </c>
      <c r="P7" t="str">
        <f>IF(Table134[[#This Row],[Conversion Rate]]&gt;=20%,"High","Low")</f>
        <v>High</v>
      </c>
    </row>
    <row r="8" spans="1:16" x14ac:dyDescent="0.25">
      <c r="A8" s="2">
        <v>45292</v>
      </c>
      <c r="B8" s="2" t="str">
        <f>TEXT(Table134[[#This Row],[Date]],"MMM")</f>
        <v>Jan</v>
      </c>
      <c r="C8">
        <v>73</v>
      </c>
      <c r="D8">
        <v>12</v>
      </c>
      <c r="E8" s="3">
        <v>507.45</v>
      </c>
      <c r="F8">
        <v>0</v>
      </c>
      <c r="G8" s="6">
        <v>1123.8399999999999</v>
      </c>
      <c r="H8" t="s">
        <v>28</v>
      </c>
      <c r="I8" t="s">
        <v>39</v>
      </c>
      <c r="J8" t="str">
        <f>Table134[[#This Row],[First Name]]&amp;" "&amp;Table134[[#This Row],[Last Name]]</f>
        <v>Vicky Jones</v>
      </c>
      <c r="K8" t="s">
        <v>45</v>
      </c>
      <c r="L8" s="5">
        <f>Table134[[#This Row],[Calls Reached]]/Table134[[#This Row],[Total Calls]]</f>
        <v>0.16438356164383561</v>
      </c>
      <c r="M8" s="5">
        <f>Table134[[#This Row],[Deals Closed]]/Table134[[#This Row],[Calls Reached]]</f>
        <v>0</v>
      </c>
      <c r="N8" s="6">
        <f>IFERROR(Table134[[#This Row],[Deal Value ($)]]/Table134[[#This Row],[Deals Closed]],0)</f>
        <v>0</v>
      </c>
      <c r="O8" s="6">
        <f>Table134[[#This Row],[Deal Value ($)]]/Table134[[#This Row],[Total Calls]]</f>
        <v>15.395068493150683</v>
      </c>
      <c r="P8" t="str">
        <f>IF(Table134[[#This Row],[Conversion Rate]]&gt;=20%,"High","Low")</f>
        <v>Low</v>
      </c>
    </row>
    <row r="9" spans="1:16" x14ac:dyDescent="0.25">
      <c r="A9" s="2">
        <v>45292</v>
      </c>
      <c r="B9" s="2" t="str">
        <f>TEXT(Table134[[#This Row],[Date]],"MMM")</f>
        <v>Jan</v>
      </c>
      <c r="C9">
        <v>92</v>
      </c>
      <c r="D9">
        <v>20</v>
      </c>
      <c r="E9" s="3">
        <v>161.41999999999999</v>
      </c>
      <c r="F9">
        <v>4</v>
      </c>
      <c r="G9" s="6">
        <v>425.41</v>
      </c>
      <c r="H9" t="s">
        <v>27</v>
      </c>
      <c r="I9" t="s">
        <v>35</v>
      </c>
      <c r="J9" t="str">
        <f>Table134[[#This Row],[First Name]]&amp;" "&amp;Table134[[#This Row],[Last Name]]</f>
        <v>Will Garcia</v>
      </c>
      <c r="K9" t="s">
        <v>46</v>
      </c>
      <c r="L9" s="5">
        <f>Table134[[#This Row],[Calls Reached]]/Table134[[#This Row],[Total Calls]]</f>
        <v>0.21739130434782608</v>
      </c>
      <c r="M9" s="5">
        <f>Table134[[#This Row],[Deals Closed]]/Table134[[#This Row],[Calls Reached]]</f>
        <v>0.2</v>
      </c>
      <c r="N9" s="6">
        <f>IFERROR(Table134[[#This Row],[Deal Value ($)]]/Table134[[#This Row],[Deals Closed]],0)</f>
        <v>106.35250000000001</v>
      </c>
      <c r="O9" s="6">
        <f>Table134[[#This Row],[Deal Value ($)]]/Table134[[#This Row],[Total Calls]]</f>
        <v>4.624021739130435</v>
      </c>
      <c r="P9" t="str">
        <f>IF(Table134[[#This Row],[Conversion Rate]]&gt;=20%,"High","Low")</f>
        <v>High</v>
      </c>
    </row>
    <row r="10" spans="1:16" x14ac:dyDescent="0.25">
      <c r="A10" s="2">
        <v>45292</v>
      </c>
      <c r="B10" s="2" t="str">
        <f>TEXT(Table134[[#This Row],[Date]],"MMM")</f>
        <v>Jan</v>
      </c>
      <c r="C10">
        <v>31</v>
      </c>
      <c r="D10">
        <v>17</v>
      </c>
      <c r="E10" s="3">
        <v>476.95</v>
      </c>
      <c r="F10">
        <v>7</v>
      </c>
      <c r="G10" s="6">
        <v>3945.43</v>
      </c>
      <c r="H10" t="s">
        <v>26</v>
      </c>
      <c r="I10" t="s">
        <v>36</v>
      </c>
      <c r="J10" t="str">
        <f>Table134[[#This Row],[First Name]]&amp;" "&amp;Table134[[#This Row],[Last Name]]</f>
        <v>Darren Smith</v>
      </c>
      <c r="K10" t="s">
        <v>46</v>
      </c>
      <c r="L10" s="5">
        <f>Table134[[#This Row],[Calls Reached]]/Table134[[#This Row],[Total Calls]]</f>
        <v>0.54838709677419351</v>
      </c>
      <c r="M10" s="5">
        <f>Table134[[#This Row],[Deals Closed]]/Table134[[#This Row],[Calls Reached]]</f>
        <v>0.41176470588235292</v>
      </c>
      <c r="N10" s="6">
        <f>IFERROR(Table134[[#This Row],[Deal Value ($)]]/Table134[[#This Row],[Deals Closed]],0)</f>
        <v>563.63285714285712</v>
      </c>
      <c r="O10" s="6">
        <f>Table134[[#This Row],[Deal Value ($)]]/Table134[[#This Row],[Total Calls]]</f>
        <v>127.27193548387096</v>
      </c>
      <c r="P10" t="str">
        <f>IF(Table134[[#This Row],[Conversion Rate]]&gt;=20%,"High","Low")</f>
        <v>High</v>
      </c>
    </row>
    <row r="11" spans="1:16" x14ac:dyDescent="0.25">
      <c r="A11" s="2">
        <v>45292</v>
      </c>
      <c r="B11" s="2" t="str">
        <f>TEXT(Table134[[#This Row],[Date]],"MMM")</f>
        <v>Jan</v>
      </c>
      <c r="C11">
        <v>81</v>
      </c>
      <c r="D11">
        <v>7</v>
      </c>
      <c r="E11" s="3">
        <v>82.43</v>
      </c>
      <c r="F11">
        <v>7</v>
      </c>
      <c r="G11" s="6">
        <v>3463.96</v>
      </c>
      <c r="H11" t="s">
        <v>25</v>
      </c>
      <c r="I11" t="s">
        <v>38</v>
      </c>
      <c r="J11" t="str">
        <f>Table134[[#This Row],[First Name]]&amp;" "&amp;Table134[[#This Row],[Last Name]]</f>
        <v>Karol Rodriguez</v>
      </c>
      <c r="K11" t="s">
        <v>45</v>
      </c>
      <c r="L11" s="5">
        <f>Table134[[#This Row],[Calls Reached]]/Table134[[#This Row],[Total Calls]]</f>
        <v>8.6419753086419748E-2</v>
      </c>
      <c r="M11" s="5">
        <f>Table134[[#This Row],[Deals Closed]]/Table134[[#This Row],[Calls Reached]]</f>
        <v>1</v>
      </c>
      <c r="N11" s="6">
        <f>IFERROR(Table134[[#This Row],[Deal Value ($)]]/Table134[[#This Row],[Deals Closed]],0)</f>
        <v>494.85142857142858</v>
      </c>
      <c r="O11" s="6">
        <f>Table134[[#This Row],[Deal Value ($)]]/Table134[[#This Row],[Total Calls]]</f>
        <v>42.76493827160494</v>
      </c>
      <c r="P11" t="str">
        <f>IF(Table134[[#This Row],[Conversion Rate]]&gt;=20%,"High","Low")</f>
        <v>High</v>
      </c>
    </row>
    <row r="12" spans="1:16" x14ac:dyDescent="0.25">
      <c r="A12" s="2">
        <v>45292</v>
      </c>
      <c r="B12" s="2" t="str">
        <f>TEXT(Table134[[#This Row],[Date]],"MMM")</f>
        <v>Jan</v>
      </c>
      <c r="C12">
        <v>82</v>
      </c>
      <c r="D12">
        <v>4</v>
      </c>
      <c r="E12" s="3">
        <v>180.06</v>
      </c>
      <c r="F12">
        <v>4</v>
      </c>
      <c r="G12" s="6">
        <v>1207.17</v>
      </c>
      <c r="H12" t="s">
        <v>24</v>
      </c>
      <c r="I12" t="s">
        <v>43</v>
      </c>
      <c r="J12" t="str">
        <f>Table134[[#This Row],[First Name]]&amp;" "&amp;Table134[[#This Row],[Last Name]]</f>
        <v>Alex Williams</v>
      </c>
      <c r="K12" t="s">
        <v>45</v>
      </c>
      <c r="L12" s="5">
        <f>Table134[[#This Row],[Calls Reached]]/Table134[[#This Row],[Total Calls]]</f>
        <v>4.878048780487805E-2</v>
      </c>
      <c r="M12" s="5">
        <f>Table134[[#This Row],[Deals Closed]]/Table134[[#This Row],[Calls Reached]]</f>
        <v>1</v>
      </c>
      <c r="N12" s="6">
        <f>IFERROR(Table134[[#This Row],[Deal Value ($)]]/Table134[[#This Row],[Deals Closed]],0)</f>
        <v>301.79250000000002</v>
      </c>
      <c r="O12" s="6">
        <f>Table134[[#This Row],[Deal Value ($)]]/Table134[[#This Row],[Total Calls]]</f>
        <v>14.72158536585366</v>
      </c>
      <c r="P12" t="str">
        <f>IF(Table134[[#This Row],[Conversion Rate]]&gt;=20%,"High","Low")</f>
        <v>High</v>
      </c>
    </row>
    <row r="13" spans="1:16" x14ac:dyDescent="0.25">
      <c r="A13" s="2">
        <v>45292</v>
      </c>
      <c r="B13" s="2" t="str">
        <f>TEXT(Table134[[#This Row],[Date]],"MMM")</f>
        <v>Jan</v>
      </c>
      <c r="C13">
        <v>54</v>
      </c>
      <c r="D13">
        <v>10</v>
      </c>
      <c r="E13" s="3">
        <v>208.23</v>
      </c>
      <c r="F13">
        <v>3</v>
      </c>
      <c r="G13" s="6">
        <v>645.83000000000004</v>
      </c>
      <c r="H13" t="s">
        <v>23</v>
      </c>
      <c r="I13" t="s">
        <v>37</v>
      </c>
      <c r="J13" t="str">
        <f>Table134[[#This Row],[First Name]]&amp;" "&amp;Table134[[#This Row],[Last Name]]</f>
        <v>Melissa Johnson</v>
      </c>
      <c r="K13" t="s">
        <v>45</v>
      </c>
      <c r="L13" s="5">
        <f>Table134[[#This Row],[Calls Reached]]/Table134[[#This Row],[Total Calls]]</f>
        <v>0.18518518518518517</v>
      </c>
      <c r="M13" s="5">
        <f>Table134[[#This Row],[Deals Closed]]/Table134[[#This Row],[Calls Reached]]</f>
        <v>0.3</v>
      </c>
      <c r="N13" s="6">
        <f>IFERROR(Table134[[#This Row],[Deal Value ($)]]/Table134[[#This Row],[Deals Closed]],0)</f>
        <v>215.27666666666667</v>
      </c>
      <c r="O13" s="6">
        <f>Table134[[#This Row],[Deal Value ($)]]/Table134[[#This Row],[Total Calls]]</f>
        <v>11.959814814814816</v>
      </c>
      <c r="P13" t="str">
        <f>IF(Table134[[#This Row],[Conversion Rate]]&gt;=20%,"High","Low")</f>
        <v>High</v>
      </c>
    </row>
    <row r="14" spans="1:16" x14ac:dyDescent="0.25">
      <c r="A14" s="2">
        <v>45292</v>
      </c>
      <c r="B14" s="2" t="str">
        <f>TEXT(Table134[[#This Row],[Date]],"MMM")</f>
        <v>Jan</v>
      </c>
      <c r="C14">
        <v>36</v>
      </c>
      <c r="D14">
        <v>9</v>
      </c>
      <c r="E14" s="3">
        <v>216.03</v>
      </c>
      <c r="F14">
        <v>2</v>
      </c>
      <c r="G14" s="6">
        <v>4072.07</v>
      </c>
      <c r="H14" t="s">
        <v>22</v>
      </c>
      <c r="I14" t="s">
        <v>41</v>
      </c>
      <c r="J14" t="str">
        <f>Table134[[#This Row],[First Name]]&amp;" "&amp;Table134[[#This Row],[Last Name]]</f>
        <v>Ian Miller</v>
      </c>
      <c r="K14" t="s">
        <v>45</v>
      </c>
      <c r="L14" s="5">
        <f>Table134[[#This Row],[Calls Reached]]/Table134[[#This Row],[Total Calls]]</f>
        <v>0.25</v>
      </c>
      <c r="M14" s="5">
        <f>Table134[[#This Row],[Deals Closed]]/Table134[[#This Row],[Calls Reached]]</f>
        <v>0.22222222222222221</v>
      </c>
      <c r="N14" s="6">
        <f>IFERROR(Table134[[#This Row],[Deal Value ($)]]/Table134[[#This Row],[Deals Closed]],0)</f>
        <v>2036.0350000000001</v>
      </c>
      <c r="O14" s="6">
        <f>Table134[[#This Row],[Deal Value ($)]]/Table134[[#This Row],[Total Calls]]</f>
        <v>113.11305555555556</v>
      </c>
      <c r="P14" t="str">
        <f>IF(Table134[[#This Row],[Conversion Rate]]&gt;=20%,"High","Low")</f>
        <v>High</v>
      </c>
    </row>
    <row r="15" spans="1:16" x14ac:dyDescent="0.25">
      <c r="A15" s="2">
        <v>45292</v>
      </c>
      <c r="B15" s="2" t="str">
        <f>TEXT(Table134[[#This Row],[Date]],"MMM")</f>
        <v>Jan</v>
      </c>
      <c r="C15">
        <v>38</v>
      </c>
      <c r="D15">
        <v>10</v>
      </c>
      <c r="E15" s="3">
        <v>514.25</v>
      </c>
      <c r="F15">
        <v>4</v>
      </c>
      <c r="G15" s="6">
        <v>243.62</v>
      </c>
      <c r="H15" t="s">
        <v>33</v>
      </c>
      <c r="I15" t="s">
        <v>39</v>
      </c>
      <c r="J15" t="str">
        <f>Table134[[#This Row],[First Name]]&amp;" "&amp;Table134[[#This Row],[Last Name]]</f>
        <v>David Jones</v>
      </c>
      <c r="K15" t="s">
        <v>45</v>
      </c>
      <c r="L15" s="5">
        <f>Table134[[#This Row],[Calls Reached]]/Table134[[#This Row],[Total Calls]]</f>
        <v>0.26315789473684209</v>
      </c>
      <c r="M15" s="5">
        <f>Table134[[#This Row],[Deals Closed]]/Table134[[#This Row],[Calls Reached]]</f>
        <v>0.4</v>
      </c>
      <c r="N15" s="6">
        <f>IFERROR(Table134[[#This Row],[Deal Value ($)]]/Table134[[#This Row],[Deals Closed]],0)</f>
        <v>60.905000000000001</v>
      </c>
      <c r="O15" s="6">
        <f>Table134[[#This Row],[Deal Value ($)]]/Table134[[#This Row],[Total Calls]]</f>
        <v>6.4110526315789471</v>
      </c>
      <c r="P15" t="str">
        <f>IF(Table134[[#This Row],[Conversion Rate]]&gt;=20%,"High","Low")</f>
        <v>High</v>
      </c>
    </row>
    <row r="16" spans="1:16" x14ac:dyDescent="0.25">
      <c r="A16" s="2">
        <v>45292</v>
      </c>
      <c r="B16" s="2" t="str">
        <f>TEXT(Table134[[#This Row],[Date]],"MMM")</f>
        <v>Jan</v>
      </c>
      <c r="C16">
        <v>36</v>
      </c>
      <c r="D16">
        <v>6</v>
      </c>
      <c r="E16" s="3">
        <v>547.6</v>
      </c>
      <c r="F16">
        <v>5</v>
      </c>
      <c r="G16" s="6">
        <v>3463.18</v>
      </c>
      <c r="H16" t="s">
        <v>20</v>
      </c>
      <c r="I16" t="s">
        <v>39</v>
      </c>
      <c r="J16" t="str">
        <f>Table134[[#This Row],[First Name]]&amp;" "&amp;Table134[[#This Row],[Last Name]]</f>
        <v>Richard Jones</v>
      </c>
      <c r="K16" t="s">
        <v>45</v>
      </c>
      <c r="L16" s="5">
        <f>Table134[[#This Row],[Calls Reached]]/Table134[[#This Row],[Total Calls]]</f>
        <v>0.16666666666666666</v>
      </c>
      <c r="M16" s="5">
        <f>Table134[[#This Row],[Deals Closed]]/Table134[[#This Row],[Calls Reached]]</f>
        <v>0.83333333333333337</v>
      </c>
      <c r="N16" s="6">
        <f>IFERROR(Table134[[#This Row],[Deal Value ($)]]/Table134[[#This Row],[Deals Closed]],0)</f>
        <v>692.63599999999997</v>
      </c>
      <c r="O16" s="6">
        <f>Table134[[#This Row],[Deal Value ($)]]/Table134[[#This Row],[Total Calls]]</f>
        <v>96.199444444444438</v>
      </c>
      <c r="P16" t="str">
        <f>IF(Table134[[#This Row],[Conversion Rate]]&gt;=20%,"High","Low")</f>
        <v>High</v>
      </c>
    </row>
    <row r="17" spans="1:16" x14ac:dyDescent="0.25">
      <c r="A17" s="2">
        <v>45292</v>
      </c>
      <c r="B17" s="2" t="str">
        <f>TEXT(Table134[[#This Row],[Date]],"MMM")</f>
        <v>Jan</v>
      </c>
      <c r="C17">
        <v>18</v>
      </c>
      <c r="D17">
        <v>8</v>
      </c>
      <c r="E17" s="3">
        <v>206.81</v>
      </c>
      <c r="F17">
        <v>7</v>
      </c>
      <c r="G17" s="6">
        <v>720.56</v>
      </c>
      <c r="H17" t="s">
        <v>19</v>
      </c>
      <c r="I17" t="s">
        <v>39</v>
      </c>
      <c r="J17" t="str">
        <f>Table134[[#This Row],[First Name]]&amp;" "&amp;Table134[[#This Row],[Last Name]]</f>
        <v>James Jones</v>
      </c>
      <c r="K17" t="s">
        <v>45</v>
      </c>
      <c r="L17" s="5">
        <f>Table134[[#This Row],[Calls Reached]]/Table134[[#This Row],[Total Calls]]</f>
        <v>0.44444444444444442</v>
      </c>
      <c r="M17" s="5">
        <f>Table134[[#This Row],[Deals Closed]]/Table134[[#This Row],[Calls Reached]]</f>
        <v>0.875</v>
      </c>
      <c r="N17" s="6">
        <f>IFERROR(Table134[[#This Row],[Deal Value ($)]]/Table134[[#This Row],[Deals Closed]],0)</f>
        <v>102.93714285714285</v>
      </c>
      <c r="O17" s="6">
        <f>Table134[[#This Row],[Deal Value ($)]]/Table134[[#This Row],[Total Calls]]</f>
        <v>40.031111111111109</v>
      </c>
      <c r="P17" t="str">
        <f>IF(Table134[[#This Row],[Conversion Rate]]&gt;=20%,"High","Low")</f>
        <v>High</v>
      </c>
    </row>
    <row r="18" spans="1:16" x14ac:dyDescent="0.25">
      <c r="A18" s="2">
        <v>45292</v>
      </c>
      <c r="B18" s="2" t="str">
        <f>TEXT(Table134[[#This Row],[Date]],"MMM")</f>
        <v>Jan</v>
      </c>
      <c r="C18">
        <v>59</v>
      </c>
      <c r="D18">
        <v>13</v>
      </c>
      <c r="E18" s="3">
        <v>307.49</v>
      </c>
      <c r="F18">
        <v>10</v>
      </c>
      <c r="G18" s="6">
        <v>979.09</v>
      </c>
      <c r="H18" t="s">
        <v>18</v>
      </c>
      <c r="I18" t="s">
        <v>36</v>
      </c>
      <c r="J18" t="str">
        <f>Table134[[#This Row],[First Name]]&amp;" "&amp;Table134[[#This Row],[Last Name]]</f>
        <v>Chris Smith</v>
      </c>
      <c r="K18" t="s">
        <v>45</v>
      </c>
      <c r="L18" s="5">
        <f>Table134[[#This Row],[Calls Reached]]/Table134[[#This Row],[Total Calls]]</f>
        <v>0.22033898305084745</v>
      </c>
      <c r="M18" s="5">
        <f>Table134[[#This Row],[Deals Closed]]/Table134[[#This Row],[Calls Reached]]</f>
        <v>0.76923076923076927</v>
      </c>
      <c r="N18" s="6">
        <f>IFERROR(Table134[[#This Row],[Deal Value ($)]]/Table134[[#This Row],[Deals Closed]],0)</f>
        <v>97.909000000000006</v>
      </c>
      <c r="O18" s="6">
        <f>Table134[[#This Row],[Deal Value ($)]]/Table134[[#This Row],[Total Calls]]</f>
        <v>16.594745762711867</v>
      </c>
      <c r="P18" t="str">
        <f>IF(Table134[[#This Row],[Conversion Rate]]&gt;=20%,"High","Low")</f>
        <v>High</v>
      </c>
    </row>
    <row r="19" spans="1:16" x14ac:dyDescent="0.25">
      <c r="A19" s="2">
        <v>45292</v>
      </c>
      <c r="B19" s="2" t="str">
        <f>TEXT(Table134[[#This Row],[Date]],"MMM")</f>
        <v>Jan</v>
      </c>
      <c r="C19">
        <v>34</v>
      </c>
      <c r="D19">
        <v>21</v>
      </c>
      <c r="E19" s="3">
        <v>362.62</v>
      </c>
      <c r="F19">
        <v>9</v>
      </c>
      <c r="G19" s="6">
        <v>1140.08</v>
      </c>
      <c r="H19" t="s">
        <v>17</v>
      </c>
      <c r="I19" t="s">
        <v>39</v>
      </c>
      <c r="J19" t="str">
        <f>Table134[[#This Row],[First Name]]&amp;" "&amp;Table134[[#This Row],[Last Name]]</f>
        <v>Molly Jones</v>
      </c>
      <c r="K19" t="s">
        <v>45</v>
      </c>
      <c r="L19" s="5">
        <f>Table134[[#This Row],[Calls Reached]]/Table134[[#This Row],[Total Calls]]</f>
        <v>0.61764705882352944</v>
      </c>
      <c r="M19" s="5">
        <f>Table134[[#This Row],[Deals Closed]]/Table134[[#This Row],[Calls Reached]]</f>
        <v>0.42857142857142855</v>
      </c>
      <c r="N19" s="6">
        <f>IFERROR(Table134[[#This Row],[Deal Value ($)]]/Table134[[#This Row],[Deals Closed]],0)</f>
        <v>126.67555555555555</v>
      </c>
      <c r="O19" s="6">
        <f>Table134[[#This Row],[Deal Value ($)]]/Table134[[#This Row],[Total Calls]]</f>
        <v>33.531764705882352</v>
      </c>
      <c r="P19" t="str">
        <f>IF(Table134[[#This Row],[Conversion Rate]]&gt;=20%,"High","Low")</f>
        <v>High</v>
      </c>
    </row>
    <row r="20" spans="1:16" x14ac:dyDescent="0.25">
      <c r="A20" s="2">
        <v>45292</v>
      </c>
      <c r="B20" s="2" t="str">
        <f>TEXT(Table134[[#This Row],[Date]],"MMM")</f>
        <v>Jan</v>
      </c>
      <c r="C20">
        <v>60</v>
      </c>
      <c r="D20">
        <v>7</v>
      </c>
      <c r="E20" s="3">
        <v>251.7</v>
      </c>
      <c r="F20">
        <v>5</v>
      </c>
      <c r="G20" s="6">
        <v>3956.69</v>
      </c>
      <c r="H20" t="s">
        <v>16</v>
      </c>
      <c r="I20" t="s">
        <v>41</v>
      </c>
      <c r="J20" t="str">
        <f>Table134[[#This Row],[First Name]]&amp;" "&amp;Table134[[#This Row],[Last Name]]</f>
        <v>Charlie Miller</v>
      </c>
      <c r="K20" t="s">
        <v>46</v>
      </c>
      <c r="L20" s="5">
        <f>Table134[[#This Row],[Calls Reached]]/Table134[[#This Row],[Total Calls]]</f>
        <v>0.11666666666666667</v>
      </c>
      <c r="M20" s="5">
        <f>Table134[[#This Row],[Deals Closed]]/Table134[[#This Row],[Calls Reached]]</f>
        <v>0.7142857142857143</v>
      </c>
      <c r="N20" s="6">
        <f>IFERROR(Table134[[#This Row],[Deal Value ($)]]/Table134[[#This Row],[Deals Closed]],0)</f>
        <v>791.33799999999997</v>
      </c>
      <c r="O20" s="6">
        <f>Table134[[#This Row],[Deal Value ($)]]/Table134[[#This Row],[Total Calls]]</f>
        <v>65.944833333333335</v>
      </c>
      <c r="P20" t="str">
        <f>IF(Table134[[#This Row],[Conversion Rate]]&gt;=20%,"High","Low")</f>
        <v>High</v>
      </c>
    </row>
    <row r="21" spans="1:16" x14ac:dyDescent="0.25">
      <c r="A21" s="2">
        <v>45292</v>
      </c>
      <c r="B21" s="2" t="str">
        <f>TEXT(Table134[[#This Row],[Date]],"MMM")</f>
        <v>Jan</v>
      </c>
      <c r="C21">
        <v>68</v>
      </c>
      <c r="D21">
        <v>19</v>
      </c>
      <c r="E21" s="3">
        <v>290.39</v>
      </c>
      <c r="F21">
        <v>3</v>
      </c>
      <c r="G21" s="6">
        <v>2472.2399999999998</v>
      </c>
      <c r="H21" t="s">
        <v>15</v>
      </c>
      <c r="I21" t="s">
        <v>40</v>
      </c>
      <c r="J21" t="str">
        <f>Table134[[#This Row],[First Name]]&amp;" "&amp;Table134[[#This Row],[Last Name]]</f>
        <v>Rick Davis</v>
      </c>
      <c r="K21" t="s">
        <v>45</v>
      </c>
      <c r="L21" s="5">
        <f>Table134[[#This Row],[Calls Reached]]/Table134[[#This Row],[Total Calls]]</f>
        <v>0.27941176470588236</v>
      </c>
      <c r="M21" s="5">
        <f>Table134[[#This Row],[Deals Closed]]/Table134[[#This Row],[Calls Reached]]</f>
        <v>0.15789473684210525</v>
      </c>
      <c r="N21" s="6">
        <f>IFERROR(Table134[[#This Row],[Deal Value ($)]]/Table134[[#This Row],[Deals Closed]],0)</f>
        <v>824.07999999999993</v>
      </c>
      <c r="O21" s="6">
        <f>Table134[[#This Row],[Deal Value ($)]]/Table134[[#This Row],[Total Calls]]</f>
        <v>36.35647058823529</v>
      </c>
      <c r="P21" t="str">
        <f>IF(Table134[[#This Row],[Conversion Rate]]&gt;=20%,"High","Low")</f>
        <v>Low</v>
      </c>
    </row>
    <row r="22" spans="1:16" x14ac:dyDescent="0.25">
      <c r="A22" s="2">
        <v>45292</v>
      </c>
      <c r="B22" s="2" t="str">
        <f>TEXT(Table134[[#This Row],[Date]],"MMM")</f>
        <v>Jan</v>
      </c>
      <c r="C22">
        <v>59</v>
      </c>
      <c r="D22">
        <v>5</v>
      </c>
      <c r="E22" s="3">
        <v>520.05999999999995</v>
      </c>
      <c r="F22">
        <v>3</v>
      </c>
      <c r="G22" s="6">
        <v>3546.72</v>
      </c>
      <c r="H22" t="s">
        <v>14</v>
      </c>
      <c r="I22" t="s">
        <v>39</v>
      </c>
      <c r="J22" t="str">
        <f>Table134[[#This Row],[First Name]]&amp;" "&amp;Table134[[#This Row],[Last Name]]</f>
        <v>Bob Jones</v>
      </c>
      <c r="K22" t="s">
        <v>45</v>
      </c>
      <c r="L22" s="5">
        <f>Table134[[#This Row],[Calls Reached]]/Table134[[#This Row],[Total Calls]]</f>
        <v>8.4745762711864403E-2</v>
      </c>
      <c r="M22" s="5">
        <f>Table134[[#This Row],[Deals Closed]]/Table134[[#This Row],[Calls Reached]]</f>
        <v>0.6</v>
      </c>
      <c r="N22" s="6">
        <f>IFERROR(Table134[[#This Row],[Deal Value ($)]]/Table134[[#This Row],[Deals Closed]],0)</f>
        <v>1182.24</v>
      </c>
      <c r="O22" s="6">
        <f>Table134[[#This Row],[Deal Value ($)]]/Table134[[#This Row],[Total Calls]]</f>
        <v>60.113898305084746</v>
      </c>
      <c r="P22" t="str">
        <f>IF(Table134[[#This Row],[Conversion Rate]]&gt;=20%,"High","Low")</f>
        <v>High</v>
      </c>
    </row>
    <row r="23" spans="1:16" x14ac:dyDescent="0.25">
      <c r="A23" s="2">
        <v>45292</v>
      </c>
      <c r="B23" s="2" t="str">
        <f>TEXT(Table134[[#This Row],[Date]],"MMM")</f>
        <v>Jan</v>
      </c>
      <c r="C23">
        <v>81</v>
      </c>
      <c r="D23">
        <v>16</v>
      </c>
      <c r="E23" s="3">
        <v>516.23</v>
      </c>
      <c r="F23">
        <v>5</v>
      </c>
      <c r="G23" s="6">
        <v>1030.68</v>
      </c>
      <c r="H23" t="s">
        <v>13</v>
      </c>
      <c r="I23" t="s">
        <v>38</v>
      </c>
      <c r="J23" t="str">
        <f>Table134[[#This Row],[First Name]]&amp;" "&amp;Table134[[#This Row],[Last Name]]</f>
        <v>Liam Rodriguez</v>
      </c>
      <c r="K23" t="s">
        <v>46</v>
      </c>
      <c r="L23" s="5">
        <f>Table134[[#This Row],[Calls Reached]]/Table134[[#This Row],[Total Calls]]</f>
        <v>0.19753086419753085</v>
      </c>
      <c r="M23" s="5">
        <f>Table134[[#This Row],[Deals Closed]]/Table134[[#This Row],[Calls Reached]]</f>
        <v>0.3125</v>
      </c>
      <c r="N23" s="6">
        <f>IFERROR(Table134[[#This Row],[Deal Value ($)]]/Table134[[#This Row],[Deals Closed]],0)</f>
        <v>206.13600000000002</v>
      </c>
      <c r="O23" s="6">
        <f>Table134[[#This Row],[Deal Value ($)]]/Table134[[#This Row],[Total Calls]]</f>
        <v>12.724444444444446</v>
      </c>
      <c r="P23" t="str">
        <f>IF(Table134[[#This Row],[Conversion Rate]]&gt;=20%,"High","Low")</f>
        <v>High</v>
      </c>
    </row>
    <row r="24" spans="1:16" x14ac:dyDescent="0.25">
      <c r="A24" s="2">
        <v>45292</v>
      </c>
      <c r="B24" s="2" t="str">
        <f>TEXT(Table134[[#This Row],[Date]],"MMM")</f>
        <v>Jan</v>
      </c>
      <c r="C24">
        <v>24</v>
      </c>
      <c r="D24">
        <v>6</v>
      </c>
      <c r="E24" s="3">
        <v>76.930000000000007</v>
      </c>
      <c r="F24">
        <v>4</v>
      </c>
      <c r="G24" s="6">
        <v>1552.35</v>
      </c>
      <c r="H24" t="s">
        <v>12</v>
      </c>
      <c r="I24" t="s">
        <v>38</v>
      </c>
      <c r="J24" t="str">
        <f>Table134[[#This Row],[First Name]]&amp;" "&amp;Table134[[#This Row],[Last Name]]</f>
        <v>Jake Rodriguez</v>
      </c>
      <c r="K24" t="s">
        <v>46</v>
      </c>
      <c r="L24" s="5">
        <f>Table134[[#This Row],[Calls Reached]]/Table134[[#This Row],[Total Calls]]</f>
        <v>0.25</v>
      </c>
      <c r="M24" s="5">
        <f>Table134[[#This Row],[Deals Closed]]/Table134[[#This Row],[Calls Reached]]</f>
        <v>0.66666666666666663</v>
      </c>
      <c r="N24" s="6">
        <f>IFERROR(Table134[[#This Row],[Deal Value ($)]]/Table134[[#This Row],[Deals Closed]],0)</f>
        <v>388.08749999999998</v>
      </c>
      <c r="O24" s="6">
        <f>Table134[[#This Row],[Deal Value ($)]]/Table134[[#This Row],[Total Calls]]</f>
        <v>64.681249999999991</v>
      </c>
      <c r="P24" t="str">
        <f>IF(Table134[[#This Row],[Conversion Rate]]&gt;=20%,"High","Low")</f>
        <v>High</v>
      </c>
    </row>
    <row r="25" spans="1:16" x14ac:dyDescent="0.25">
      <c r="A25" s="2">
        <v>45292</v>
      </c>
      <c r="B25" s="2" t="str">
        <f>TEXT(Table134[[#This Row],[Date]],"MMM")</f>
        <v>Jan</v>
      </c>
      <c r="C25">
        <v>47</v>
      </c>
      <c r="D25">
        <v>14</v>
      </c>
      <c r="E25" s="3">
        <v>418.92</v>
      </c>
      <c r="F25">
        <v>2</v>
      </c>
      <c r="G25" s="6">
        <v>3716</v>
      </c>
      <c r="H25" t="s">
        <v>11</v>
      </c>
      <c r="I25" t="s">
        <v>37</v>
      </c>
      <c r="J25" t="str">
        <f>Table134[[#This Row],[First Name]]&amp;" "&amp;Table134[[#This Row],[Last Name]]</f>
        <v>Diana Johnson</v>
      </c>
      <c r="K25" t="s">
        <v>45</v>
      </c>
      <c r="L25" s="5">
        <f>Table134[[#This Row],[Calls Reached]]/Table134[[#This Row],[Total Calls]]</f>
        <v>0.2978723404255319</v>
      </c>
      <c r="M25" s="5">
        <f>Table134[[#This Row],[Deals Closed]]/Table134[[#This Row],[Calls Reached]]</f>
        <v>0.14285714285714285</v>
      </c>
      <c r="N25" s="6">
        <f>IFERROR(Table134[[#This Row],[Deal Value ($)]]/Table134[[#This Row],[Deals Closed]],0)</f>
        <v>1858</v>
      </c>
      <c r="O25" s="6">
        <f>Table134[[#This Row],[Deal Value ($)]]/Table134[[#This Row],[Total Calls]]</f>
        <v>79.063829787234042</v>
      </c>
      <c r="P25" t="str">
        <f>IF(Table134[[#This Row],[Conversion Rate]]&gt;=20%,"High","Low")</f>
        <v>Low</v>
      </c>
    </row>
    <row r="26" spans="1:16" x14ac:dyDescent="0.25">
      <c r="A26" s="2">
        <v>45292</v>
      </c>
      <c r="B26" s="2" t="str">
        <f>TEXT(Table134[[#This Row],[Date]],"MMM")</f>
        <v>Jan</v>
      </c>
      <c r="C26">
        <v>78</v>
      </c>
      <c r="D26">
        <v>12</v>
      </c>
      <c r="E26" s="3">
        <v>377.5</v>
      </c>
      <c r="F26">
        <v>4</v>
      </c>
      <c r="G26" s="6">
        <v>3880.98</v>
      </c>
      <c r="H26" t="s">
        <v>10</v>
      </c>
      <c r="I26" t="s">
        <v>36</v>
      </c>
      <c r="J26" t="str">
        <f>Table134[[#This Row],[First Name]]&amp;" "&amp;Table134[[#This Row],[Last Name]]</f>
        <v>Alice Smith</v>
      </c>
      <c r="K26" t="s">
        <v>46</v>
      </c>
      <c r="L26" s="5">
        <f>Table134[[#This Row],[Calls Reached]]/Table134[[#This Row],[Total Calls]]</f>
        <v>0.15384615384615385</v>
      </c>
      <c r="M26" s="5">
        <f>Table134[[#This Row],[Deals Closed]]/Table134[[#This Row],[Calls Reached]]</f>
        <v>0.33333333333333331</v>
      </c>
      <c r="N26" s="6">
        <f>IFERROR(Table134[[#This Row],[Deal Value ($)]]/Table134[[#This Row],[Deals Closed]],0)</f>
        <v>970.245</v>
      </c>
      <c r="O26" s="6">
        <f>Table134[[#This Row],[Deal Value ($)]]/Table134[[#This Row],[Total Calls]]</f>
        <v>49.756153846153843</v>
      </c>
      <c r="P26" t="str">
        <f>IF(Table134[[#This Row],[Conversion Rate]]&gt;=20%,"High","Low")</f>
        <v>High</v>
      </c>
    </row>
    <row r="27" spans="1:16" x14ac:dyDescent="0.25">
      <c r="A27" s="2">
        <v>45292</v>
      </c>
      <c r="B27" s="2" t="str">
        <f>TEXT(Table134[[#This Row],[Date]],"MMM")</f>
        <v>Jan</v>
      </c>
      <c r="C27">
        <v>67</v>
      </c>
      <c r="D27">
        <v>17</v>
      </c>
      <c r="E27" s="3">
        <v>552.54999999999995</v>
      </c>
      <c r="F27">
        <v>2</v>
      </c>
      <c r="G27" s="6">
        <v>330.12</v>
      </c>
      <c r="H27" t="s">
        <v>21</v>
      </c>
      <c r="I27" t="s">
        <v>42</v>
      </c>
      <c r="J27" t="str">
        <f>Table134[[#This Row],[First Name]]&amp;" "&amp;Table134[[#This Row],[Last Name]]</f>
        <v>Paul Martinez</v>
      </c>
      <c r="K27" t="s">
        <v>46</v>
      </c>
      <c r="L27" s="5">
        <f>Table134[[#This Row],[Calls Reached]]/Table134[[#This Row],[Total Calls]]</f>
        <v>0.2537313432835821</v>
      </c>
      <c r="M27" s="5">
        <f>Table134[[#This Row],[Deals Closed]]/Table134[[#This Row],[Calls Reached]]</f>
        <v>0.11764705882352941</v>
      </c>
      <c r="N27" s="6">
        <f>IFERROR(Table134[[#This Row],[Deal Value ($)]]/Table134[[#This Row],[Deals Closed]],0)</f>
        <v>165.06</v>
      </c>
      <c r="O27" s="6">
        <f>Table134[[#This Row],[Deal Value ($)]]/Table134[[#This Row],[Total Calls]]</f>
        <v>4.9271641791044773</v>
      </c>
      <c r="P27" t="str">
        <f>IF(Table134[[#This Row],[Conversion Rate]]&gt;=20%,"High","Low")</f>
        <v>Low</v>
      </c>
    </row>
    <row r="28" spans="1:16" x14ac:dyDescent="0.25">
      <c r="A28" s="2">
        <v>45293</v>
      </c>
      <c r="B28" s="2" t="str">
        <f>TEXT(Table134[[#This Row],[Date]],"MMM")</f>
        <v>Jan</v>
      </c>
      <c r="C28">
        <v>88</v>
      </c>
      <c r="D28">
        <v>76</v>
      </c>
      <c r="E28" s="3">
        <v>477.27143704234118</v>
      </c>
      <c r="F28">
        <v>33</v>
      </c>
      <c r="G28" s="6">
        <v>2759.8775464905921</v>
      </c>
      <c r="H28" t="s">
        <v>12</v>
      </c>
      <c r="I28" t="s">
        <v>35</v>
      </c>
      <c r="J28" t="str">
        <f>Table134[[#This Row],[First Name]]&amp;" "&amp;Table134[[#This Row],[Last Name]]</f>
        <v>Jake Garcia</v>
      </c>
      <c r="K28" t="s">
        <v>46</v>
      </c>
      <c r="L28" s="5">
        <f>Table134[[#This Row],[Calls Reached]]/Table134[[#This Row],[Total Calls]]</f>
        <v>0.86363636363636365</v>
      </c>
      <c r="M28" s="5">
        <f>Table134[[#This Row],[Deals Closed]]/Table134[[#This Row],[Calls Reached]]</f>
        <v>0.43421052631578949</v>
      </c>
      <c r="N28" s="6">
        <f>IFERROR(Table134[[#This Row],[Deal Value ($)]]/Table134[[#This Row],[Deals Closed]],0)</f>
        <v>83.632652923957338</v>
      </c>
      <c r="O28" s="6">
        <f>Table134[[#This Row],[Deal Value ($)]]/Table134[[#This Row],[Total Calls]]</f>
        <v>31.362244846484</v>
      </c>
      <c r="P28" t="str">
        <f>IF(Table134[[#This Row],[Conversion Rate]]&gt;=20%,"High","Low")</f>
        <v>High</v>
      </c>
    </row>
    <row r="29" spans="1:16" x14ac:dyDescent="0.25">
      <c r="A29" s="2">
        <v>45294</v>
      </c>
      <c r="B29" s="2" t="str">
        <f>TEXT(Table134[[#This Row],[Date]],"MMM")</f>
        <v>Jan</v>
      </c>
      <c r="C29">
        <v>78</v>
      </c>
      <c r="D29">
        <v>28</v>
      </c>
      <c r="E29" s="3">
        <v>151.56193441796631</v>
      </c>
      <c r="F29">
        <v>7</v>
      </c>
      <c r="G29" s="6">
        <v>3179.2325779401972</v>
      </c>
      <c r="H29" t="s">
        <v>12</v>
      </c>
      <c r="I29" t="s">
        <v>43</v>
      </c>
      <c r="J29" t="str">
        <f>Table134[[#This Row],[First Name]]&amp;" "&amp;Table134[[#This Row],[Last Name]]</f>
        <v>Jake Williams</v>
      </c>
      <c r="K29" t="s">
        <v>46</v>
      </c>
      <c r="L29" s="5">
        <f>Table134[[#This Row],[Calls Reached]]/Table134[[#This Row],[Total Calls]]</f>
        <v>0.35897435897435898</v>
      </c>
      <c r="M29" s="5">
        <f>Table134[[#This Row],[Deals Closed]]/Table134[[#This Row],[Calls Reached]]</f>
        <v>0.25</v>
      </c>
      <c r="N29" s="6">
        <f>IFERROR(Table134[[#This Row],[Deal Value ($)]]/Table134[[#This Row],[Deals Closed]],0)</f>
        <v>454.17608256288531</v>
      </c>
      <c r="O29" s="6">
        <f>Table134[[#This Row],[Deal Value ($)]]/Table134[[#This Row],[Total Calls]]</f>
        <v>40.759392024874323</v>
      </c>
      <c r="P29" t="str">
        <f>IF(Table134[[#This Row],[Conversion Rate]]&gt;=20%,"High","Low")</f>
        <v>High</v>
      </c>
    </row>
    <row r="30" spans="1:16" x14ac:dyDescent="0.25">
      <c r="A30" s="2">
        <v>45295</v>
      </c>
      <c r="B30" s="2" t="str">
        <f>TEXT(Table134[[#This Row],[Date]],"MMM")</f>
        <v>Jan</v>
      </c>
      <c r="C30">
        <v>64</v>
      </c>
      <c r="D30">
        <v>29</v>
      </c>
      <c r="E30" s="3">
        <v>551.2764533397833</v>
      </c>
      <c r="F30">
        <v>39</v>
      </c>
      <c r="G30" s="6">
        <v>801.84414824792361</v>
      </c>
      <c r="H30" t="s">
        <v>47</v>
      </c>
      <c r="I30" t="s">
        <v>43</v>
      </c>
      <c r="J30" t="str">
        <f>Table134[[#This Row],[First Name]]&amp;" "&amp;Table134[[#This Row],[Last Name]]</f>
        <v>John Williams</v>
      </c>
      <c r="K30" t="s">
        <v>46</v>
      </c>
      <c r="L30" s="5">
        <f>Table134[[#This Row],[Calls Reached]]/Table134[[#This Row],[Total Calls]]</f>
        <v>0.453125</v>
      </c>
      <c r="M30" s="5">
        <f>Table134[[#This Row],[Deals Closed]]/Table134[[#This Row],[Calls Reached]]</f>
        <v>1.3448275862068966</v>
      </c>
      <c r="N30" s="6">
        <f>IFERROR(Table134[[#This Row],[Deal Value ($)]]/Table134[[#This Row],[Deals Closed]],0)</f>
        <v>20.560106365331375</v>
      </c>
      <c r="O30" s="6">
        <f>Table134[[#This Row],[Deal Value ($)]]/Table134[[#This Row],[Total Calls]]</f>
        <v>12.528814816373806</v>
      </c>
      <c r="P30" t="str">
        <f>IF(Table134[[#This Row],[Conversion Rate]]&gt;=20%,"High","Low")</f>
        <v>High</v>
      </c>
    </row>
    <row r="31" spans="1:16" x14ac:dyDescent="0.25">
      <c r="A31" s="2">
        <v>45296</v>
      </c>
      <c r="B31" s="2" t="str">
        <f>TEXT(Table134[[#This Row],[Date]],"MMM")</f>
        <v>Jan</v>
      </c>
      <c r="C31">
        <v>92</v>
      </c>
      <c r="D31">
        <v>61</v>
      </c>
      <c r="E31" s="3">
        <v>352.62618622392858</v>
      </c>
      <c r="F31">
        <v>18</v>
      </c>
      <c r="G31" s="6">
        <v>3874.8221167963002</v>
      </c>
      <c r="H31" t="s">
        <v>47</v>
      </c>
      <c r="I31" t="s">
        <v>36</v>
      </c>
      <c r="J31" t="str">
        <f>Table134[[#This Row],[First Name]]&amp;" "&amp;Table134[[#This Row],[Last Name]]</f>
        <v>John Smith</v>
      </c>
      <c r="K31" t="s">
        <v>45</v>
      </c>
      <c r="L31" s="5">
        <f>Table134[[#This Row],[Calls Reached]]/Table134[[#This Row],[Total Calls]]</f>
        <v>0.66304347826086951</v>
      </c>
      <c r="M31" s="5">
        <f>Table134[[#This Row],[Deals Closed]]/Table134[[#This Row],[Calls Reached]]</f>
        <v>0.29508196721311475</v>
      </c>
      <c r="N31" s="6">
        <f>IFERROR(Table134[[#This Row],[Deal Value ($)]]/Table134[[#This Row],[Deals Closed]],0)</f>
        <v>215.26789537757224</v>
      </c>
      <c r="O31" s="6">
        <f>Table134[[#This Row],[Deal Value ($)]]/Table134[[#This Row],[Total Calls]]</f>
        <v>42.117631704307612</v>
      </c>
      <c r="P31" t="str">
        <f>IF(Table134[[#This Row],[Conversion Rate]]&gt;=20%,"High","Low")</f>
        <v>High</v>
      </c>
    </row>
    <row r="32" spans="1:16" x14ac:dyDescent="0.25">
      <c r="A32" s="2">
        <v>45299</v>
      </c>
      <c r="B32" s="2" t="str">
        <f>TEXT(Table134[[#This Row],[Date]],"MMM")</f>
        <v>Jan</v>
      </c>
      <c r="C32">
        <v>57</v>
      </c>
      <c r="D32">
        <v>42</v>
      </c>
      <c r="E32" s="3">
        <v>513.22873305387088</v>
      </c>
      <c r="F32">
        <v>36</v>
      </c>
      <c r="G32" s="6">
        <v>1444.575168930136</v>
      </c>
      <c r="H32" t="s">
        <v>18</v>
      </c>
      <c r="I32" t="s">
        <v>37</v>
      </c>
      <c r="J32" t="str">
        <f>Table134[[#This Row],[First Name]]&amp;" "&amp;Table134[[#This Row],[Last Name]]</f>
        <v>Chris Johnson</v>
      </c>
      <c r="K32" t="s">
        <v>46</v>
      </c>
      <c r="L32" s="5">
        <f>Table134[[#This Row],[Calls Reached]]/Table134[[#This Row],[Total Calls]]</f>
        <v>0.73684210526315785</v>
      </c>
      <c r="M32" s="5">
        <f>Table134[[#This Row],[Deals Closed]]/Table134[[#This Row],[Calls Reached]]</f>
        <v>0.8571428571428571</v>
      </c>
      <c r="N32" s="6">
        <f>IFERROR(Table134[[#This Row],[Deal Value ($)]]/Table134[[#This Row],[Deals Closed]],0)</f>
        <v>40.127088025837111</v>
      </c>
      <c r="O32" s="6">
        <f>Table134[[#This Row],[Deal Value ($)]]/Table134[[#This Row],[Total Calls]]</f>
        <v>25.343424016318174</v>
      </c>
      <c r="P32" t="str">
        <f>IF(Table134[[#This Row],[Conversion Rate]]&gt;=20%,"High","Low")</f>
        <v>High</v>
      </c>
    </row>
    <row r="33" spans="1:16" x14ac:dyDescent="0.25">
      <c r="A33" s="2">
        <v>45300</v>
      </c>
      <c r="B33" s="2" t="str">
        <f>TEXT(Table134[[#This Row],[Date]],"MMM")</f>
        <v>Jan</v>
      </c>
      <c r="C33">
        <v>70</v>
      </c>
      <c r="D33">
        <v>49</v>
      </c>
      <c r="E33" s="3">
        <v>260.02480051530591</v>
      </c>
      <c r="F33">
        <v>5</v>
      </c>
      <c r="G33" s="6">
        <v>4541.2443024832119</v>
      </c>
      <c r="H33" t="s">
        <v>48</v>
      </c>
      <c r="I33" t="s">
        <v>44</v>
      </c>
      <c r="J33" t="str">
        <f>Table134[[#This Row],[First Name]]&amp;" "&amp;Table134[[#This Row],[Last Name]]</f>
        <v>Anna Brown</v>
      </c>
      <c r="K33" t="s">
        <v>46</v>
      </c>
      <c r="L33" s="5">
        <f>Table134[[#This Row],[Calls Reached]]/Table134[[#This Row],[Total Calls]]</f>
        <v>0.7</v>
      </c>
      <c r="M33" s="5">
        <f>Table134[[#This Row],[Deals Closed]]/Table134[[#This Row],[Calls Reached]]</f>
        <v>0.10204081632653061</v>
      </c>
      <c r="N33" s="6">
        <f>IFERROR(Table134[[#This Row],[Deal Value ($)]]/Table134[[#This Row],[Deals Closed]],0)</f>
        <v>908.24886049664235</v>
      </c>
      <c r="O33" s="6">
        <f>Table134[[#This Row],[Deal Value ($)]]/Table134[[#This Row],[Total Calls]]</f>
        <v>64.874918606903023</v>
      </c>
      <c r="P33" t="str">
        <f>IF(Table134[[#This Row],[Conversion Rate]]&gt;=20%,"High","Low")</f>
        <v>Low</v>
      </c>
    </row>
    <row r="34" spans="1:16" x14ac:dyDescent="0.25">
      <c r="A34" s="2">
        <v>45301</v>
      </c>
      <c r="B34" s="2" t="str">
        <f>TEXT(Table134[[#This Row],[Date]],"MMM")</f>
        <v>Jan</v>
      </c>
      <c r="C34">
        <v>88</v>
      </c>
      <c r="D34">
        <v>48</v>
      </c>
      <c r="E34" s="3">
        <v>547.76161424810016</v>
      </c>
      <c r="F34">
        <v>25</v>
      </c>
      <c r="G34" s="6">
        <v>1423.128382169032</v>
      </c>
      <c r="H34" t="s">
        <v>49</v>
      </c>
      <c r="I34" t="s">
        <v>42</v>
      </c>
      <c r="J34" t="str">
        <f>Table134[[#This Row],[First Name]]&amp;" "&amp;Table134[[#This Row],[Last Name]]</f>
        <v>Jane Martinez</v>
      </c>
      <c r="K34" t="s">
        <v>46</v>
      </c>
      <c r="L34" s="5">
        <f>Table134[[#This Row],[Calls Reached]]/Table134[[#This Row],[Total Calls]]</f>
        <v>0.54545454545454541</v>
      </c>
      <c r="M34" s="5">
        <f>Table134[[#This Row],[Deals Closed]]/Table134[[#This Row],[Calls Reached]]</f>
        <v>0.52083333333333337</v>
      </c>
      <c r="N34" s="6">
        <f>IFERROR(Table134[[#This Row],[Deal Value ($)]]/Table134[[#This Row],[Deals Closed]],0)</f>
        <v>56.925135286761275</v>
      </c>
      <c r="O34" s="6">
        <f>Table134[[#This Row],[Deal Value ($)]]/Table134[[#This Row],[Total Calls]]</f>
        <v>16.171913433739</v>
      </c>
      <c r="P34" t="str">
        <f>IF(Table134[[#This Row],[Conversion Rate]]&gt;=20%,"High","Low")</f>
        <v>High</v>
      </c>
    </row>
    <row r="35" spans="1:16" x14ac:dyDescent="0.25">
      <c r="A35" s="2">
        <v>45302</v>
      </c>
      <c r="B35" s="2" t="str">
        <f>TEXT(Table134[[#This Row],[Date]],"MMM")</f>
        <v>Jan</v>
      </c>
      <c r="C35">
        <v>68</v>
      </c>
      <c r="D35">
        <v>10</v>
      </c>
      <c r="E35" s="3">
        <v>294.60083936708162</v>
      </c>
      <c r="F35">
        <v>33</v>
      </c>
      <c r="G35" s="6">
        <v>1358.0947429865</v>
      </c>
      <c r="H35" t="s">
        <v>47</v>
      </c>
      <c r="I35" t="s">
        <v>38</v>
      </c>
      <c r="J35" t="str">
        <f>Table134[[#This Row],[First Name]]&amp;" "&amp;Table134[[#This Row],[Last Name]]</f>
        <v>John Rodriguez</v>
      </c>
      <c r="K35" t="s">
        <v>45</v>
      </c>
      <c r="L35" s="5">
        <f>Table134[[#This Row],[Calls Reached]]/Table134[[#This Row],[Total Calls]]</f>
        <v>0.14705882352941177</v>
      </c>
      <c r="M35" s="5">
        <f>Table134[[#This Row],[Deals Closed]]/Table134[[#This Row],[Calls Reached]]</f>
        <v>3.3</v>
      </c>
      <c r="N35" s="6">
        <f>IFERROR(Table134[[#This Row],[Deal Value ($)]]/Table134[[#This Row],[Deals Closed]],0)</f>
        <v>41.15438615110606</v>
      </c>
      <c r="O35" s="6">
        <f>Table134[[#This Row],[Deal Value ($)]]/Table134[[#This Row],[Total Calls]]</f>
        <v>19.971981514507352</v>
      </c>
      <c r="P35" t="str">
        <f>IF(Table134[[#This Row],[Conversion Rate]]&gt;=20%,"High","Low")</f>
        <v>High</v>
      </c>
    </row>
    <row r="36" spans="1:16" x14ac:dyDescent="0.25">
      <c r="A36" s="2">
        <v>45303</v>
      </c>
      <c r="B36" s="2" t="str">
        <f>TEXT(Table134[[#This Row],[Date]],"MMM")</f>
        <v>Jan</v>
      </c>
      <c r="C36">
        <v>72</v>
      </c>
      <c r="D36">
        <v>20</v>
      </c>
      <c r="E36" s="3">
        <v>105.4188257401492</v>
      </c>
      <c r="F36">
        <v>5</v>
      </c>
      <c r="G36" s="6">
        <v>664.47350531642701</v>
      </c>
      <c r="H36" t="s">
        <v>9</v>
      </c>
      <c r="I36" t="s">
        <v>37</v>
      </c>
      <c r="J36" t="str">
        <f>Table134[[#This Row],[First Name]]&amp;" "&amp;Table134[[#This Row],[Last Name]]</f>
        <v>Evan Johnson</v>
      </c>
      <c r="K36" t="s">
        <v>46</v>
      </c>
      <c r="L36" s="5">
        <f>Table134[[#This Row],[Calls Reached]]/Table134[[#This Row],[Total Calls]]</f>
        <v>0.27777777777777779</v>
      </c>
      <c r="M36" s="5">
        <f>Table134[[#This Row],[Deals Closed]]/Table134[[#This Row],[Calls Reached]]</f>
        <v>0.25</v>
      </c>
      <c r="N36" s="6">
        <f>IFERROR(Table134[[#This Row],[Deal Value ($)]]/Table134[[#This Row],[Deals Closed]],0)</f>
        <v>132.8947010632854</v>
      </c>
      <c r="O36" s="6">
        <f>Table134[[#This Row],[Deal Value ($)]]/Table134[[#This Row],[Total Calls]]</f>
        <v>9.2287986849503749</v>
      </c>
      <c r="P36" t="str">
        <f>IF(Table134[[#This Row],[Conversion Rate]]&gt;=20%,"High","Low")</f>
        <v>High</v>
      </c>
    </row>
    <row r="37" spans="1:16" x14ac:dyDescent="0.25">
      <c r="A37" s="2">
        <v>45306</v>
      </c>
      <c r="B37" s="2" t="str">
        <f>TEXT(Table134[[#This Row],[Date]],"MMM")</f>
        <v>Jan</v>
      </c>
      <c r="C37">
        <v>60</v>
      </c>
      <c r="D37">
        <v>66</v>
      </c>
      <c r="E37" s="3">
        <v>552.69098820963177</v>
      </c>
      <c r="F37">
        <v>36</v>
      </c>
      <c r="G37" s="6">
        <v>2624.301252994997</v>
      </c>
      <c r="H37" t="s">
        <v>18</v>
      </c>
      <c r="I37" t="s">
        <v>35</v>
      </c>
      <c r="J37" t="str">
        <f>Table134[[#This Row],[First Name]]&amp;" "&amp;Table134[[#This Row],[Last Name]]</f>
        <v>Chris Garcia</v>
      </c>
      <c r="K37" t="s">
        <v>45</v>
      </c>
      <c r="L37" s="5">
        <f>Table134[[#This Row],[Calls Reached]]/Table134[[#This Row],[Total Calls]]</f>
        <v>1.1000000000000001</v>
      </c>
      <c r="M37" s="5">
        <f>Table134[[#This Row],[Deals Closed]]/Table134[[#This Row],[Calls Reached]]</f>
        <v>0.54545454545454541</v>
      </c>
      <c r="N37" s="6">
        <f>IFERROR(Table134[[#This Row],[Deal Value ($)]]/Table134[[#This Row],[Deals Closed]],0)</f>
        <v>72.897257027638801</v>
      </c>
      <c r="O37" s="6">
        <f>Table134[[#This Row],[Deal Value ($)]]/Table134[[#This Row],[Total Calls]]</f>
        <v>43.738354216583282</v>
      </c>
      <c r="P37" t="str">
        <f>IF(Table134[[#This Row],[Conversion Rate]]&gt;=20%,"High","Low")</f>
        <v>High</v>
      </c>
    </row>
    <row r="38" spans="1:16" x14ac:dyDescent="0.25">
      <c r="A38" s="2">
        <v>45307</v>
      </c>
      <c r="B38" s="2" t="str">
        <f>TEXT(Table134[[#This Row],[Date]],"MMM")</f>
        <v>Jan</v>
      </c>
      <c r="C38">
        <v>60</v>
      </c>
      <c r="D38">
        <v>59</v>
      </c>
      <c r="E38" s="3">
        <v>145.64333839306681</v>
      </c>
      <c r="F38">
        <v>32</v>
      </c>
      <c r="G38" s="6">
        <v>3041.7850996817742</v>
      </c>
      <c r="H38" t="s">
        <v>49</v>
      </c>
      <c r="I38" t="s">
        <v>43</v>
      </c>
      <c r="J38" t="str">
        <f>Table134[[#This Row],[First Name]]&amp;" "&amp;Table134[[#This Row],[Last Name]]</f>
        <v>Jane Williams</v>
      </c>
      <c r="K38" t="s">
        <v>45</v>
      </c>
      <c r="L38" s="5">
        <f>Table134[[#This Row],[Calls Reached]]/Table134[[#This Row],[Total Calls]]</f>
        <v>0.98333333333333328</v>
      </c>
      <c r="M38" s="5">
        <f>Table134[[#This Row],[Deals Closed]]/Table134[[#This Row],[Calls Reached]]</f>
        <v>0.5423728813559322</v>
      </c>
      <c r="N38" s="6">
        <f>IFERROR(Table134[[#This Row],[Deal Value ($)]]/Table134[[#This Row],[Deals Closed]],0)</f>
        <v>95.055784365055445</v>
      </c>
      <c r="O38" s="6">
        <f>Table134[[#This Row],[Deal Value ($)]]/Table134[[#This Row],[Total Calls]]</f>
        <v>50.696418328029573</v>
      </c>
      <c r="P38" t="str">
        <f>IF(Table134[[#This Row],[Conversion Rate]]&gt;=20%,"High","Low")</f>
        <v>High</v>
      </c>
    </row>
    <row r="39" spans="1:16" x14ac:dyDescent="0.25">
      <c r="A39" s="2">
        <v>45308</v>
      </c>
      <c r="B39" s="2" t="str">
        <f>TEXT(Table134[[#This Row],[Date]],"MMM")</f>
        <v>Jan</v>
      </c>
      <c r="C39">
        <v>73</v>
      </c>
      <c r="D39">
        <v>32</v>
      </c>
      <c r="E39" s="3">
        <v>259.65681879520741</v>
      </c>
      <c r="F39">
        <v>21</v>
      </c>
      <c r="G39" s="6">
        <v>795.68887742758557</v>
      </c>
      <c r="H39" t="s">
        <v>18</v>
      </c>
      <c r="I39" t="s">
        <v>40</v>
      </c>
      <c r="J39" t="str">
        <f>Table134[[#This Row],[First Name]]&amp;" "&amp;Table134[[#This Row],[Last Name]]</f>
        <v>Chris Davis</v>
      </c>
      <c r="K39" t="s">
        <v>46</v>
      </c>
      <c r="L39" s="5">
        <f>Table134[[#This Row],[Calls Reached]]/Table134[[#This Row],[Total Calls]]</f>
        <v>0.43835616438356162</v>
      </c>
      <c r="M39" s="5">
        <f>Table134[[#This Row],[Deals Closed]]/Table134[[#This Row],[Calls Reached]]</f>
        <v>0.65625</v>
      </c>
      <c r="N39" s="6">
        <f>IFERROR(Table134[[#This Row],[Deal Value ($)]]/Table134[[#This Row],[Deals Closed]],0)</f>
        <v>37.889946544170741</v>
      </c>
      <c r="O39" s="6">
        <f>Table134[[#This Row],[Deal Value ($)]]/Table134[[#This Row],[Total Calls]]</f>
        <v>10.899847635994323</v>
      </c>
      <c r="P39" t="str">
        <f>IF(Table134[[#This Row],[Conversion Rate]]&gt;=20%,"High","Low")</f>
        <v>High</v>
      </c>
    </row>
    <row r="40" spans="1:16" x14ac:dyDescent="0.25">
      <c r="A40" s="2">
        <v>45309</v>
      </c>
      <c r="B40" s="2" t="str">
        <f>TEXT(Table134[[#This Row],[Date]],"MMM")</f>
        <v>Jan</v>
      </c>
      <c r="C40">
        <v>85</v>
      </c>
      <c r="D40">
        <v>40</v>
      </c>
      <c r="E40" s="3">
        <v>575.03098352540246</v>
      </c>
      <c r="F40">
        <v>20</v>
      </c>
      <c r="G40" s="6">
        <v>3989.8742751275481</v>
      </c>
      <c r="H40" t="s">
        <v>49</v>
      </c>
      <c r="I40" t="s">
        <v>36</v>
      </c>
      <c r="J40" t="str">
        <f>Table134[[#This Row],[First Name]]&amp;" "&amp;Table134[[#This Row],[Last Name]]</f>
        <v>Jane Smith</v>
      </c>
      <c r="K40" t="s">
        <v>46</v>
      </c>
      <c r="L40" s="5">
        <f>Table134[[#This Row],[Calls Reached]]/Table134[[#This Row],[Total Calls]]</f>
        <v>0.47058823529411764</v>
      </c>
      <c r="M40" s="5">
        <f>Table134[[#This Row],[Deals Closed]]/Table134[[#This Row],[Calls Reached]]</f>
        <v>0.5</v>
      </c>
      <c r="N40" s="6">
        <f>IFERROR(Table134[[#This Row],[Deal Value ($)]]/Table134[[#This Row],[Deals Closed]],0)</f>
        <v>199.49371375637742</v>
      </c>
      <c r="O40" s="6">
        <f>Table134[[#This Row],[Deal Value ($)]]/Table134[[#This Row],[Total Calls]]</f>
        <v>46.939697354441741</v>
      </c>
      <c r="P40" t="str">
        <f>IF(Table134[[#This Row],[Conversion Rate]]&gt;=20%,"High","Low")</f>
        <v>High</v>
      </c>
    </row>
    <row r="41" spans="1:16" x14ac:dyDescent="0.25">
      <c r="A41" s="2">
        <v>45310</v>
      </c>
      <c r="B41" s="2" t="str">
        <f>TEXT(Table134[[#This Row],[Date]],"MMM")</f>
        <v>Jan</v>
      </c>
      <c r="C41">
        <v>89</v>
      </c>
      <c r="D41">
        <v>51</v>
      </c>
      <c r="E41" s="3">
        <v>575.30357346877804</v>
      </c>
      <c r="F41">
        <v>5</v>
      </c>
      <c r="G41" s="6">
        <v>2539.7997563661238</v>
      </c>
      <c r="H41" t="s">
        <v>49</v>
      </c>
      <c r="I41" t="s">
        <v>36</v>
      </c>
      <c r="J41" t="str">
        <f>Table134[[#This Row],[First Name]]&amp;" "&amp;Table134[[#This Row],[Last Name]]</f>
        <v>Jane Smith</v>
      </c>
      <c r="K41" t="s">
        <v>45</v>
      </c>
      <c r="L41" s="5">
        <f>Table134[[#This Row],[Calls Reached]]/Table134[[#This Row],[Total Calls]]</f>
        <v>0.5730337078651685</v>
      </c>
      <c r="M41" s="5">
        <f>Table134[[#This Row],[Deals Closed]]/Table134[[#This Row],[Calls Reached]]</f>
        <v>9.8039215686274508E-2</v>
      </c>
      <c r="N41" s="6">
        <f>IFERROR(Table134[[#This Row],[Deal Value ($)]]/Table134[[#This Row],[Deals Closed]],0)</f>
        <v>507.95995127322476</v>
      </c>
      <c r="O41" s="6">
        <f>Table134[[#This Row],[Deal Value ($)]]/Table134[[#This Row],[Total Calls]]</f>
        <v>28.537075914226111</v>
      </c>
      <c r="P41" t="str">
        <f>IF(Table134[[#This Row],[Conversion Rate]]&gt;=20%,"High","Low")</f>
        <v>Low</v>
      </c>
    </row>
    <row r="42" spans="1:16" x14ac:dyDescent="0.25">
      <c r="A42" s="2">
        <v>45313</v>
      </c>
      <c r="B42" s="2" t="str">
        <f>TEXT(Table134[[#This Row],[Date]],"MMM")</f>
        <v>Jan</v>
      </c>
      <c r="C42">
        <v>73</v>
      </c>
      <c r="D42">
        <v>16</v>
      </c>
      <c r="E42" s="3">
        <v>386.71894406164313</v>
      </c>
      <c r="F42">
        <v>5</v>
      </c>
      <c r="G42" s="6">
        <v>2859.7562119741101</v>
      </c>
      <c r="H42" t="s">
        <v>34</v>
      </c>
      <c r="I42" t="s">
        <v>40</v>
      </c>
      <c r="J42" t="str">
        <f>Table134[[#This Row],[First Name]]&amp;" "&amp;Table134[[#This Row],[Last Name]]</f>
        <v>Mimi Davis</v>
      </c>
      <c r="K42" t="s">
        <v>46</v>
      </c>
      <c r="L42" s="5">
        <f>Table134[[#This Row],[Calls Reached]]/Table134[[#This Row],[Total Calls]]</f>
        <v>0.21917808219178081</v>
      </c>
      <c r="M42" s="5">
        <f>Table134[[#This Row],[Deals Closed]]/Table134[[#This Row],[Calls Reached]]</f>
        <v>0.3125</v>
      </c>
      <c r="N42" s="6">
        <f>IFERROR(Table134[[#This Row],[Deal Value ($)]]/Table134[[#This Row],[Deals Closed]],0)</f>
        <v>571.95124239482197</v>
      </c>
      <c r="O42" s="6">
        <f>Table134[[#This Row],[Deal Value ($)]]/Table134[[#This Row],[Total Calls]]</f>
        <v>39.17474262978233</v>
      </c>
      <c r="P42" t="str">
        <f>IF(Table134[[#This Row],[Conversion Rate]]&gt;=20%,"High","Low")</f>
        <v>High</v>
      </c>
    </row>
    <row r="43" spans="1:16" x14ac:dyDescent="0.25">
      <c r="A43" s="2">
        <v>45314</v>
      </c>
      <c r="B43" s="2" t="str">
        <f>TEXT(Table134[[#This Row],[Date]],"MMM")</f>
        <v>Jan</v>
      </c>
      <c r="C43">
        <v>52</v>
      </c>
      <c r="D43">
        <v>25</v>
      </c>
      <c r="E43" s="3">
        <v>415.91860608489958</v>
      </c>
      <c r="F43">
        <v>3</v>
      </c>
      <c r="G43" s="6">
        <v>2483.4323612220269</v>
      </c>
      <c r="H43" t="s">
        <v>47</v>
      </c>
      <c r="I43" t="s">
        <v>44</v>
      </c>
      <c r="J43" t="str">
        <f>Table134[[#This Row],[First Name]]&amp;" "&amp;Table134[[#This Row],[Last Name]]</f>
        <v>John Brown</v>
      </c>
      <c r="K43" t="s">
        <v>45</v>
      </c>
      <c r="L43" s="5">
        <f>Table134[[#This Row],[Calls Reached]]/Table134[[#This Row],[Total Calls]]</f>
        <v>0.48076923076923078</v>
      </c>
      <c r="M43" s="5">
        <f>Table134[[#This Row],[Deals Closed]]/Table134[[#This Row],[Calls Reached]]</f>
        <v>0.12</v>
      </c>
      <c r="N43" s="6">
        <f>IFERROR(Table134[[#This Row],[Deal Value ($)]]/Table134[[#This Row],[Deals Closed]],0)</f>
        <v>827.810787074009</v>
      </c>
      <c r="O43" s="6">
        <f>Table134[[#This Row],[Deal Value ($)]]/Table134[[#This Row],[Total Calls]]</f>
        <v>47.758314638885132</v>
      </c>
      <c r="P43" t="str">
        <f>IF(Table134[[#This Row],[Conversion Rate]]&gt;=20%,"High","Low")</f>
        <v>Low</v>
      </c>
    </row>
    <row r="44" spans="1:16" x14ac:dyDescent="0.25">
      <c r="A44" s="2">
        <v>45315</v>
      </c>
      <c r="B44" s="2" t="str">
        <f>TEXT(Table134[[#This Row],[Date]],"MMM")</f>
        <v>Jan</v>
      </c>
      <c r="C44">
        <v>71</v>
      </c>
      <c r="D44">
        <v>69</v>
      </c>
      <c r="E44" s="3">
        <v>324.22276098915989</v>
      </c>
      <c r="F44">
        <v>29</v>
      </c>
      <c r="G44" s="6">
        <v>2303.4337739389671</v>
      </c>
      <c r="H44" t="s">
        <v>10</v>
      </c>
      <c r="I44" t="s">
        <v>37</v>
      </c>
      <c r="J44" t="str">
        <f>Table134[[#This Row],[First Name]]&amp;" "&amp;Table134[[#This Row],[Last Name]]</f>
        <v>Alice Johnson</v>
      </c>
      <c r="K44" t="s">
        <v>45</v>
      </c>
      <c r="L44" s="5">
        <f>Table134[[#This Row],[Calls Reached]]/Table134[[#This Row],[Total Calls]]</f>
        <v>0.971830985915493</v>
      </c>
      <c r="M44" s="5">
        <f>Table134[[#This Row],[Deals Closed]]/Table134[[#This Row],[Calls Reached]]</f>
        <v>0.42028985507246375</v>
      </c>
      <c r="N44" s="6">
        <f>IFERROR(Table134[[#This Row],[Deal Value ($)]]/Table134[[#This Row],[Deals Closed]],0)</f>
        <v>79.428750825481629</v>
      </c>
      <c r="O44" s="6">
        <f>Table134[[#This Row],[Deal Value ($)]]/Table134[[#This Row],[Total Calls]]</f>
        <v>32.44272921040799</v>
      </c>
      <c r="P44" t="str">
        <f>IF(Table134[[#This Row],[Conversion Rate]]&gt;=20%,"High","Low")</f>
        <v>High</v>
      </c>
    </row>
    <row r="45" spans="1:16" x14ac:dyDescent="0.25">
      <c r="A45" s="2">
        <v>45316</v>
      </c>
      <c r="B45" s="2" t="str">
        <f>TEXT(Table134[[#This Row],[Date]],"MMM")</f>
        <v>Jan</v>
      </c>
      <c r="C45">
        <v>51</v>
      </c>
      <c r="D45">
        <v>11</v>
      </c>
      <c r="E45" s="3">
        <v>246.6053858490323</v>
      </c>
      <c r="F45">
        <v>10</v>
      </c>
      <c r="G45" s="6">
        <v>3018.3814908869799</v>
      </c>
      <c r="H45" t="s">
        <v>18</v>
      </c>
      <c r="I45" t="s">
        <v>38</v>
      </c>
      <c r="J45" t="str">
        <f>Table134[[#This Row],[First Name]]&amp;" "&amp;Table134[[#This Row],[Last Name]]</f>
        <v>Chris Rodriguez</v>
      </c>
      <c r="K45" t="s">
        <v>46</v>
      </c>
      <c r="L45" s="5">
        <f>Table134[[#This Row],[Calls Reached]]/Table134[[#This Row],[Total Calls]]</f>
        <v>0.21568627450980393</v>
      </c>
      <c r="M45" s="5">
        <f>Table134[[#This Row],[Deals Closed]]/Table134[[#This Row],[Calls Reached]]</f>
        <v>0.90909090909090906</v>
      </c>
      <c r="N45" s="6">
        <f>IFERROR(Table134[[#This Row],[Deal Value ($)]]/Table134[[#This Row],[Deals Closed]],0)</f>
        <v>301.838149088698</v>
      </c>
      <c r="O45" s="6">
        <f>Table134[[#This Row],[Deal Value ($)]]/Table134[[#This Row],[Total Calls]]</f>
        <v>59.183950801705485</v>
      </c>
      <c r="P45" t="str">
        <f>IF(Table134[[#This Row],[Conversion Rate]]&gt;=20%,"High","Low")</f>
        <v>High</v>
      </c>
    </row>
    <row r="46" spans="1:16" x14ac:dyDescent="0.25">
      <c r="A46" s="2">
        <v>45317</v>
      </c>
      <c r="B46" s="2" t="str">
        <f>TEXT(Table134[[#This Row],[Date]],"MMM")</f>
        <v>Jan</v>
      </c>
      <c r="C46">
        <v>73</v>
      </c>
      <c r="D46">
        <v>10</v>
      </c>
      <c r="E46" s="3">
        <v>264.33227268495801</v>
      </c>
      <c r="F46">
        <v>29</v>
      </c>
      <c r="G46" s="6">
        <v>1198.5811066882061</v>
      </c>
      <c r="H46" t="s">
        <v>10</v>
      </c>
      <c r="I46" t="s">
        <v>44</v>
      </c>
      <c r="J46" t="str">
        <f>Table134[[#This Row],[First Name]]&amp;" "&amp;Table134[[#This Row],[Last Name]]</f>
        <v>Alice Brown</v>
      </c>
      <c r="K46" t="s">
        <v>46</v>
      </c>
      <c r="L46" s="5">
        <f>Table134[[#This Row],[Calls Reached]]/Table134[[#This Row],[Total Calls]]</f>
        <v>0.13698630136986301</v>
      </c>
      <c r="M46" s="5">
        <f>Table134[[#This Row],[Deals Closed]]/Table134[[#This Row],[Calls Reached]]</f>
        <v>2.9</v>
      </c>
      <c r="N46" s="6">
        <f>IFERROR(Table134[[#This Row],[Deal Value ($)]]/Table134[[#This Row],[Deals Closed]],0)</f>
        <v>41.330382989248484</v>
      </c>
      <c r="O46" s="6">
        <f>Table134[[#This Row],[Deal Value ($)]]/Table134[[#This Row],[Total Calls]]</f>
        <v>16.418919269701455</v>
      </c>
      <c r="P46" t="str">
        <f>IF(Table134[[#This Row],[Conversion Rate]]&gt;=20%,"High","Low")</f>
        <v>High</v>
      </c>
    </row>
    <row r="47" spans="1:16" x14ac:dyDescent="0.25">
      <c r="A47" s="2">
        <v>45320</v>
      </c>
      <c r="B47" s="2" t="str">
        <f>TEXT(Table134[[#This Row],[Date]],"MMM")</f>
        <v>Jan</v>
      </c>
      <c r="C47">
        <v>93</v>
      </c>
      <c r="D47">
        <v>57</v>
      </c>
      <c r="E47" s="3">
        <v>436.25922803851921</v>
      </c>
      <c r="F47">
        <v>30</v>
      </c>
      <c r="G47" s="6">
        <v>1318.6765872287201</v>
      </c>
      <c r="H47" t="s">
        <v>18</v>
      </c>
      <c r="I47" t="s">
        <v>40</v>
      </c>
      <c r="J47" t="str">
        <f>Table134[[#This Row],[First Name]]&amp;" "&amp;Table134[[#This Row],[Last Name]]</f>
        <v>Chris Davis</v>
      </c>
      <c r="K47" t="s">
        <v>45</v>
      </c>
      <c r="L47" s="5">
        <f>Table134[[#This Row],[Calls Reached]]/Table134[[#This Row],[Total Calls]]</f>
        <v>0.61290322580645162</v>
      </c>
      <c r="M47" s="5">
        <f>Table134[[#This Row],[Deals Closed]]/Table134[[#This Row],[Calls Reached]]</f>
        <v>0.52631578947368418</v>
      </c>
      <c r="N47" s="6">
        <f>IFERROR(Table134[[#This Row],[Deal Value ($)]]/Table134[[#This Row],[Deals Closed]],0)</f>
        <v>43.955886240957334</v>
      </c>
      <c r="O47" s="6">
        <f>Table134[[#This Row],[Deal Value ($)]]/Table134[[#This Row],[Total Calls]]</f>
        <v>14.179318142244302</v>
      </c>
      <c r="P47" t="str">
        <f>IF(Table134[[#This Row],[Conversion Rate]]&gt;=20%,"High","Low")</f>
        <v>High</v>
      </c>
    </row>
    <row r="48" spans="1:16" x14ac:dyDescent="0.25">
      <c r="A48" s="2">
        <v>45321</v>
      </c>
      <c r="B48" s="2" t="str">
        <f>TEXT(Table134[[#This Row],[Date]],"MMM")</f>
        <v>Jan</v>
      </c>
      <c r="C48">
        <v>79</v>
      </c>
      <c r="D48">
        <v>21</v>
      </c>
      <c r="E48" s="3">
        <v>476.18726471884003</v>
      </c>
      <c r="F48">
        <v>23</v>
      </c>
      <c r="G48" s="6">
        <v>4378.0352945608283</v>
      </c>
      <c r="H48" t="s">
        <v>34</v>
      </c>
      <c r="I48" t="s">
        <v>43</v>
      </c>
      <c r="J48" t="str">
        <f>Table134[[#This Row],[First Name]]&amp;" "&amp;Table134[[#This Row],[Last Name]]</f>
        <v>Mimi Williams</v>
      </c>
      <c r="K48" t="s">
        <v>45</v>
      </c>
      <c r="L48" s="5">
        <f>Table134[[#This Row],[Calls Reached]]/Table134[[#This Row],[Total Calls]]</f>
        <v>0.26582278481012656</v>
      </c>
      <c r="M48" s="5">
        <f>Table134[[#This Row],[Deals Closed]]/Table134[[#This Row],[Calls Reached]]</f>
        <v>1.0952380952380953</v>
      </c>
      <c r="N48" s="6">
        <f>IFERROR(Table134[[#This Row],[Deal Value ($)]]/Table134[[#This Row],[Deals Closed]],0)</f>
        <v>190.3493606330795</v>
      </c>
      <c r="O48" s="6">
        <f>Table134[[#This Row],[Deal Value ($)]]/Table134[[#This Row],[Total Calls]]</f>
        <v>55.418168285580109</v>
      </c>
      <c r="P48" t="str">
        <f>IF(Table134[[#This Row],[Conversion Rate]]&gt;=20%,"High","Low")</f>
        <v>High</v>
      </c>
    </row>
    <row r="49" spans="1:16" x14ac:dyDescent="0.25">
      <c r="A49" s="2">
        <v>45322</v>
      </c>
      <c r="B49" s="2" t="str">
        <f>TEXT(Table134[[#This Row],[Date]],"MMM")</f>
        <v>Jan</v>
      </c>
      <c r="C49">
        <v>87</v>
      </c>
      <c r="D49">
        <v>78</v>
      </c>
      <c r="E49" s="3">
        <v>495.78952186292429</v>
      </c>
      <c r="F49">
        <v>8</v>
      </c>
      <c r="G49" s="6">
        <v>4757.5195796013477</v>
      </c>
      <c r="H49" t="s">
        <v>9</v>
      </c>
      <c r="I49" t="s">
        <v>40</v>
      </c>
      <c r="J49" t="str">
        <f>Table134[[#This Row],[First Name]]&amp;" "&amp;Table134[[#This Row],[Last Name]]</f>
        <v>Evan Davis</v>
      </c>
      <c r="K49" t="s">
        <v>45</v>
      </c>
      <c r="L49" s="5">
        <f>Table134[[#This Row],[Calls Reached]]/Table134[[#This Row],[Total Calls]]</f>
        <v>0.89655172413793105</v>
      </c>
      <c r="M49" s="5">
        <f>Table134[[#This Row],[Deals Closed]]/Table134[[#This Row],[Calls Reached]]</f>
        <v>0.10256410256410256</v>
      </c>
      <c r="N49" s="6">
        <f>IFERROR(Table134[[#This Row],[Deal Value ($)]]/Table134[[#This Row],[Deals Closed]],0)</f>
        <v>594.68994745016846</v>
      </c>
      <c r="O49" s="6">
        <f>Table134[[#This Row],[Deal Value ($)]]/Table134[[#This Row],[Total Calls]]</f>
        <v>54.684133098866063</v>
      </c>
      <c r="P49" t="str">
        <f>IF(Table134[[#This Row],[Conversion Rate]]&gt;=20%,"High","Low")</f>
        <v>Low</v>
      </c>
    </row>
    <row r="50" spans="1:16" x14ac:dyDescent="0.25">
      <c r="A50" s="2">
        <v>45323</v>
      </c>
      <c r="B50" s="2" t="str">
        <f>TEXT(Table134[[#This Row],[Date]],"MMM")</f>
        <v>Feb</v>
      </c>
      <c r="C50">
        <v>34</v>
      </c>
      <c r="D50">
        <v>17</v>
      </c>
      <c r="E50" s="3">
        <v>380.37</v>
      </c>
      <c r="F50">
        <v>7</v>
      </c>
      <c r="G50" s="6">
        <v>4183.2700000000004</v>
      </c>
      <c r="H50" t="s">
        <v>34</v>
      </c>
      <c r="I50" t="s">
        <v>38</v>
      </c>
      <c r="J50" t="str">
        <f>Table134[[#This Row],[First Name]]&amp;" "&amp;Table134[[#This Row],[Last Name]]</f>
        <v>Mimi Rodriguez</v>
      </c>
      <c r="K50" t="s">
        <v>46</v>
      </c>
      <c r="L50" s="5">
        <f>Table134[[#This Row],[Calls Reached]]/Table134[[#This Row],[Total Calls]]</f>
        <v>0.5</v>
      </c>
      <c r="M50" s="5">
        <f>Table134[[#This Row],[Deals Closed]]/Table134[[#This Row],[Calls Reached]]</f>
        <v>0.41176470588235292</v>
      </c>
      <c r="N50" s="6">
        <f>IFERROR(Table134[[#This Row],[Deal Value ($)]]/Table134[[#This Row],[Deals Closed]],0)</f>
        <v>597.61</v>
      </c>
      <c r="O50" s="6">
        <f>Table134[[#This Row],[Deal Value ($)]]/Table134[[#This Row],[Total Calls]]</f>
        <v>123.03735294117648</v>
      </c>
      <c r="P50" t="str">
        <f>IF(Table134[[#This Row],[Conversion Rate]]&gt;=20%,"High","Low")</f>
        <v>High</v>
      </c>
    </row>
    <row r="51" spans="1:16" x14ac:dyDescent="0.25">
      <c r="A51" s="2">
        <v>45323</v>
      </c>
      <c r="B51" s="2" t="str">
        <f>TEXT(Table134[[#This Row],[Date]],"MMM")</f>
        <v>Feb</v>
      </c>
      <c r="C51">
        <v>80</v>
      </c>
      <c r="D51">
        <v>50</v>
      </c>
      <c r="E51" s="3">
        <v>562.73</v>
      </c>
      <c r="F51">
        <v>30</v>
      </c>
      <c r="G51" s="6">
        <v>221.94</v>
      </c>
      <c r="H51" t="s">
        <v>33</v>
      </c>
      <c r="I51" t="s">
        <v>38</v>
      </c>
      <c r="J51" t="str">
        <f>Table134[[#This Row],[First Name]]&amp;" "&amp;Table134[[#This Row],[Last Name]]</f>
        <v>David Rodriguez</v>
      </c>
      <c r="K51" t="s">
        <v>46</v>
      </c>
      <c r="L51" s="5">
        <f>Table134[[#This Row],[Calls Reached]]/Table134[[#This Row],[Total Calls]]</f>
        <v>0.625</v>
      </c>
      <c r="M51" s="5">
        <f>Table134[[#This Row],[Deals Closed]]/Table134[[#This Row],[Calls Reached]]</f>
        <v>0.6</v>
      </c>
      <c r="N51" s="6">
        <f>IFERROR(Table134[[#This Row],[Deal Value ($)]]/Table134[[#This Row],[Deals Closed]],0)</f>
        <v>7.3979999999999997</v>
      </c>
      <c r="O51" s="6">
        <f>Table134[[#This Row],[Deal Value ($)]]/Table134[[#This Row],[Total Calls]]</f>
        <v>2.7742499999999999</v>
      </c>
      <c r="P51" t="str">
        <f>IF(Table134[[#This Row],[Conversion Rate]]&gt;=20%,"High","Low")</f>
        <v>High</v>
      </c>
    </row>
    <row r="52" spans="1:16" x14ac:dyDescent="0.25">
      <c r="A52" s="2">
        <v>45323</v>
      </c>
      <c r="B52" s="2" t="str">
        <f>TEXT(Table134[[#This Row],[Date]],"MMM")</f>
        <v>Feb</v>
      </c>
      <c r="C52">
        <v>22</v>
      </c>
      <c r="D52">
        <v>17</v>
      </c>
      <c r="E52" s="3">
        <v>291.97000000000003</v>
      </c>
      <c r="F52">
        <v>1</v>
      </c>
      <c r="G52" s="6">
        <v>1703.6</v>
      </c>
      <c r="H52" t="s">
        <v>29</v>
      </c>
      <c r="I52" t="s">
        <v>36</v>
      </c>
      <c r="J52" t="str">
        <f>Table134[[#This Row],[First Name]]&amp;" "&amp;Table134[[#This Row],[Last Name]]</f>
        <v>Grace Smith</v>
      </c>
      <c r="K52" t="s">
        <v>45</v>
      </c>
      <c r="L52" s="5">
        <f>Table134[[#This Row],[Calls Reached]]/Table134[[#This Row],[Total Calls]]</f>
        <v>0.77272727272727271</v>
      </c>
      <c r="M52" s="5">
        <f>Table134[[#This Row],[Deals Closed]]/Table134[[#This Row],[Calls Reached]]</f>
        <v>5.8823529411764705E-2</v>
      </c>
      <c r="N52" s="6">
        <f>IFERROR(Table134[[#This Row],[Deal Value ($)]]/Table134[[#This Row],[Deals Closed]],0)</f>
        <v>1703.6</v>
      </c>
      <c r="O52" s="6">
        <f>Table134[[#This Row],[Deal Value ($)]]/Table134[[#This Row],[Total Calls]]</f>
        <v>77.436363636363637</v>
      </c>
      <c r="P52" t="str">
        <f>IF(Table134[[#This Row],[Conversion Rate]]&gt;=20%,"High","Low")</f>
        <v>Low</v>
      </c>
    </row>
    <row r="53" spans="1:16" x14ac:dyDescent="0.25">
      <c r="A53" s="2">
        <v>45323</v>
      </c>
      <c r="B53" s="2" t="str">
        <f>TEXT(Table134[[#This Row],[Date]],"MMM")</f>
        <v>Feb</v>
      </c>
      <c r="C53">
        <v>68</v>
      </c>
      <c r="D53">
        <v>7</v>
      </c>
      <c r="E53" s="3">
        <v>171.76</v>
      </c>
      <c r="F53">
        <v>7</v>
      </c>
      <c r="G53" s="6">
        <v>548.36</v>
      </c>
      <c r="H53" t="s">
        <v>31</v>
      </c>
      <c r="I53" t="s">
        <v>39</v>
      </c>
      <c r="J53" t="str">
        <f>Table134[[#This Row],[First Name]]&amp;" "&amp;Table134[[#This Row],[Last Name]]</f>
        <v>Josh Jones</v>
      </c>
      <c r="K53" t="s">
        <v>46</v>
      </c>
      <c r="L53" s="5">
        <f>Table134[[#This Row],[Calls Reached]]/Table134[[#This Row],[Total Calls]]</f>
        <v>0.10294117647058823</v>
      </c>
      <c r="M53" s="5">
        <f>Table134[[#This Row],[Deals Closed]]/Table134[[#This Row],[Calls Reached]]</f>
        <v>1</v>
      </c>
      <c r="N53" s="6">
        <f>IFERROR(Table134[[#This Row],[Deal Value ($)]]/Table134[[#This Row],[Deals Closed]],0)</f>
        <v>78.337142857142865</v>
      </c>
      <c r="O53" s="6">
        <f>Table134[[#This Row],[Deal Value ($)]]/Table134[[#This Row],[Total Calls]]</f>
        <v>8.0641176470588238</v>
      </c>
      <c r="P53" t="str">
        <f>IF(Table134[[#This Row],[Conversion Rate]]&gt;=20%,"High","Low")</f>
        <v>High</v>
      </c>
    </row>
    <row r="54" spans="1:16" x14ac:dyDescent="0.25">
      <c r="A54" s="2">
        <v>45323</v>
      </c>
      <c r="B54" s="2" t="str">
        <f>TEXT(Table134[[#This Row],[Date]],"MMM")</f>
        <v>Feb</v>
      </c>
      <c r="C54">
        <v>62</v>
      </c>
      <c r="D54">
        <v>15</v>
      </c>
      <c r="E54" s="3">
        <v>361.38</v>
      </c>
      <c r="F54">
        <v>6</v>
      </c>
      <c r="G54" s="6">
        <v>4195.1400000000003</v>
      </c>
      <c r="H54" t="s">
        <v>9</v>
      </c>
      <c r="I54" t="s">
        <v>41</v>
      </c>
      <c r="J54" t="str">
        <f>Table134[[#This Row],[First Name]]&amp;" "&amp;Table134[[#This Row],[Last Name]]</f>
        <v>Evan Miller</v>
      </c>
      <c r="K54" t="s">
        <v>46</v>
      </c>
      <c r="L54" s="5">
        <f>Table134[[#This Row],[Calls Reached]]/Table134[[#This Row],[Total Calls]]</f>
        <v>0.24193548387096775</v>
      </c>
      <c r="M54" s="5">
        <f>Table134[[#This Row],[Deals Closed]]/Table134[[#This Row],[Calls Reached]]</f>
        <v>0.4</v>
      </c>
      <c r="N54" s="6">
        <f>IFERROR(Table134[[#This Row],[Deal Value ($)]]/Table134[[#This Row],[Deals Closed]],0)</f>
        <v>699.19</v>
      </c>
      <c r="O54" s="6">
        <f>Table134[[#This Row],[Deal Value ($)]]/Table134[[#This Row],[Total Calls]]</f>
        <v>67.663548387096782</v>
      </c>
      <c r="P54" t="str">
        <f>IF(Table134[[#This Row],[Conversion Rate]]&gt;=20%,"High","Low")</f>
        <v>High</v>
      </c>
    </row>
    <row r="55" spans="1:16" x14ac:dyDescent="0.25">
      <c r="A55" s="2">
        <v>45323</v>
      </c>
      <c r="B55" s="2" t="str">
        <f>TEXT(Table134[[#This Row],[Date]],"MMM")</f>
        <v>Feb</v>
      </c>
      <c r="C55">
        <v>83</v>
      </c>
      <c r="D55">
        <v>16</v>
      </c>
      <c r="E55" s="3">
        <v>382.21</v>
      </c>
      <c r="F55">
        <v>1</v>
      </c>
      <c r="G55" s="6">
        <v>3017.43</v>
      </c>
      <c r="H55" t="s">
        <v>32</v>
      </c>
      <c r="I55" t="s">
        <v>35</v>
      </c>
      <c r="J55" t="str">
        <f>Table134[[#This Row],[First Name]]&amp;" "&amp;Table134[[#This Row],[Last Name]]</f>
        <v>Craig Garcia</v>
      </c>
      <c r="K55" t="s">
        <v>46</v>
      </c>
      <c r="L55" s="5">
        <f>Table134[[#This Row],[Calls Reached]]/Table134[[#This Row],[Total Calls]]</f>
        <v>0.19277108433734941</v>
      </c>
      <c r="M55" s="5">
        <f>Table134[[#This Row],[Deals Closed]]/Table134[[#This Row],[Calls Reached]]</f>
        <v>6.25E-2</v>
      </c>
      <c r="N55" s="6">
        <f>IFERROR(Table134[[#This Row],[Deal Value ($)]]/Table134[[#This Row],[Deals Closed]],0)</f>
        <v>3017.43</v>
      </c>
      <c r="O55" s="6">
        <f>Table134[[#This Row],[Deal Value ($)]]/Table134[[#This Row],[Total Calls]]</f>
        <v>36.354578313253008</v>
      </c>
      <c r="P55" t="str">
        <f>IF(Table134[[#This Row],[Conversion Rate]]&gt;=20%,"High","Low")</f>
        <v>Low</v>
      </c>
    </row>
    <row r="56" spans="1:16" x14ac:dyDescent="0.25">
      <c r="A56" s="2">
        <v>45323</v>
      </c>
      <c r="B56" s="2" t="str">
        <f>TEXT(Table134[[#This Row],[Date]],"MMM")</f>
        <v>Feb</v>
      </c>
      <c r="C56">
        <v>52</v>
      </c>
      <c r="D56">
        <v>14</v>
      </c>
      <c r="E56" s="3">
        <v>382.59</v>
      </c>
      <c r="F56">
        <v>3</v>
      </c>
      <c r="G56" s="6">
        <v>3394.39</v>
      </c>
      <c r="H56" t="s">
        <v>11</v>
      </c>
      <c r="I56" t="s">
        <v>41</v>
      </c>
      <c r="J56" t="str">
        <f>Table134[[#This Row],[First Name]]&amp;" "&amp;Table134[[#This Row],[Last Name]]</f>
        <v>Diana Miller</v>
      </c>
      <c r="K56" t="s">
        <v>45</v>
      </c>
      <c r="L56" s="5">
        <f>Table134[[#This Row],[Calls Reached]]/Table134[[#This Row],[Total Calls]]</f>
        <v>0.26923076923076922</v>
      </c>
      <c r="M56" s="5">
        <f>Table134[[#This Row],[Deals Closed]]/Table134[[#This Row],[Calls Reached]]</f>
        <v>0.21428571428571427</v>
      </c>
      <c r="N56" s="6">
        <f>IFERROR(Table134[[#This Row],[Deal Value ($)]]/Table134[[#This Row],[Deals Closed]],0)</f>
        <v>1131.4633333333334</v>
      </c>
      <c r="O56" s="6">
        <f>Table134[[#This Row],[Deal Value ($)]]/Table134[[#This Row],[Total Calls]]</f>
        <v>65.276730769230767</v>
      </c>
      <c r="P56" t="str">
        <f>IF(Table134[[#This Row],[Conversion Rate]]&gt;=20%,"High","Low")</f>
        <v>High</v>
      </c>
    </row>
    <row r="57" spans="1:16" x14ac:dyDescent="0.25">
      <c r="A57" s="2">
        <v>45323</v>
      </c>
      <c r="B57" s="2" t="str">
        <f>TEXT(Table134[[#This Row],[Date]],"MMM")</f>
        <v>Feb</v>
      </c>
      <c r="C57">
        <v>100</v>
      </c>
      <c r="D57">
        <v>50</v>
      </c>
      <c r="E57" s="3">
        <v>79.459999999999994</v>
      </c>
      <c r="F57">
        <v>30</v>
      </c>
      <c r="G57" s="6">
        <v>1638.74</v>
      </c>
      <c r="H57" t="s">
        <v>12</v>
      </c>
      <c r="I57" t="s">
        <v>43</v>
      </c>
      <c r="J57" t="str">
        <f>Table134[[#This Row],[First Name]]&amp;" "&amp;Table134[[#This Row],[Last Name]]</f>
        <v>Jake Williams</v>
      </c>
      <c r="K57" t="s">
        <v>45</v>
      </c>
      <c r="L57" s="5">
        <f>Table134[[#This Row],[Calls Reached]]/Table134[[#This Row],[Total Calls]]</f>
        <v>0.5</v>
      </c>
      <c r="M57" s="5">
        <f>Table134[[#This Row],[Deals Closed]]/Table134[[#This Row],[Calls Reached]]</f>
        <v>0.6</v>
      </c>
      <c r="N57" s="6">
        <f>IFERROR(Table134[[#This Row],[Deal Value ($)]]/Table134[[#This Row],[Deals Closed]],0)</f>
        <v>54.62466666666667</v>
      </c>
      <c r="O57" s="6">
        <f>Table134[[#This Row],[Deal Value ($)]]/Table134[[#This Row],[Total Calls]]</f>
        <v>16.3874</v>
      </c>
      <c r="P57" t="str">
        <f>IF(Table134[[#This Row],[Conversion Rate]]&gt;=20%,"High","Low")</f>
        <v>High</v>
      </c>
    </row>
    <row r="58" spans="1:16" x14ac:dyDescent="0.25">
      <c r="A58" s="2">
        <v>45323</v>
      </c>
      <c r="B58" s="2" t="str">
        <f>TEXT(Table134[[#This Row],[Date]],"MMM")</f>
        <v>Feb</v>
      </c>
      <c r="C58">
        <v>93</v>
      </c>
      <c r="D58">
        <v>11</v>
      </c>
      <c r="E58" s="3">
        <v>446.3</v>
      </c>
      <c r="F58">
        <v>5</v>
      </c>
      <c r="G58" s="6">
        <v>1057.1400000000001</v>
      </c>
      <c r="H58" t="s">
        <v>13</v>
      </c>
      <c r="I58" t="s">
        <v>39</v>
      </c>
      <c r="J58" t="str">
        <f>Table134[[#This Row],[First Name]]&amp;" "&amp;Table134[[#This Row],[Last Name]]</f>
        <v>Liam Jones</v>
      </c>
      <c r="K58" t="s">
        <v>46</v>
      </c>
      <c r="L58" s="5">
        <f>Table134[[#This Row],[Calls Reached]]/Table134[[#This Row],[Total Calls]]</f>
        <v>0.11827956989247312</v>
      </c>
      <c r="M58" s="5">
        <f>Table134[[#This Row],[Deals Closed]]/Table134[[#This Row],[Calls Reached]]</f>
        <v>0.45454545454545453</v>
      </c>
      <c r="N58" s="6">
        <f>IFERROR(Table134[[#This Row],[Deal Value ($)]]/Table134[[#This Row],[Deals Closed]],0)</f>
        <v>211.42800000000003</v>
      </c>
      <c r="O58" s="6">
        <f>Table134[[#This Row],[Deal Value ($)]]/Table134[[#This Row],[Total Calls]]</f>
        <v>11.36709677419355</v>
      </c>
      <c r="P58" t="str">
        <f>IF(Table134[[#This Row],[Conversion Rate]]&gt;=20%,"High","Low")</f>
        <v>High</v>
      </c>
    </row>
    <row r="59" spans="1:16" x14ac:dyDescent="0.25">
      <c r="A59" s="2">
        <v>45323</v>
      </c>
      <c r="B59" s="2" t="str">
        <f>TEXT(Table134[[#This Row],[Date]],"MMM")</f>
        <v>Feb</v>
      </c>
      <c r="C59">
        <v>65</v>
      </c>
      <c r="D59">
        <v>7</v>
      </c>
      <c r="E59" s="3">
        <v>461.67</v>
      </c>
      <c r="F59">
        <v>2</v>
      </c>
      <c r="G59" s="6">
        <v>3486.23</v>
      </c>
      <c r="H59" t="s">
        <v>14</v>
      </c>
      <c r="I59" t="s">
        <v>43</v>
      </c>
      <c r="J59" t="str">
        <f>Table134[[#This Row],[First Name]]&amp;" "&amp;Table134[[#This Row],[Last Name]]</f>
        <v>Bob Williams</v>
      </c>
      <c r="K59" t="s">
        <v>45</v>
      </c>
      <c r="L59" s="5">
        <f>Table134[[#This Row],[Calls Reached]]/Table134[[#This Row],[Total Calls]]</f>
        <v>0.1076923076923077</v>
      </c>
      <c r="M59" s="5">
        <f>Table134[[#This Row],[Deals Closed]]/Table134[[#This Row],[Calls Reached]]</f>
        <v>0.2857142857142857</v>
      </c>
      <c r="N59" s="6">
        <f>IFERROR(Table134[[#This Row],[Deal Value ($)]]/Table134[[#This Row],[Deals Closed]],0)</f>
        <v>1743.115</v>
      </c>
      <c r="O59" s="6">
        <f>Table134[[#This Row],[Deal Value ($)]]/Table134[[#This Row],[Total Calls]]</f>
        <v>53.634307692307694</v>
      </c>
      <c r="P59" t="str">
        <f>IF(Table134[[#This Row],[Conversion Rate]]&gt;=20%,"High","Low")</f>
        <v>High</v>
      </c>
    </row>
    <row r="60" spans="1:16" x14ac:dyDescent="0.25">
      <c r="A60" s="2">
        <v>45323</v>
      </c>
      <c r="B60" s="2" t="str">
        <f>TEXT(Table134[[#This Row],[Date]],"MMM")</f>
        <v>Feb</v>
      </c>
      <c r="C60">
        <v>90</v>
      </c>
      <c r="D60">
        <v>20</v>
      </c>
      <c r="E60" s="3">
        <v>328.63</v>
      </c>
      <c r="F60">
        <v>3</v>
      </c>
      <c r="G60" s="6">
        <v>2662.44</v>
      </c>
      <c r="H60" t="s">
        <v>15</v>
      </c>
      <c r="I60" t="s">
        <v>43</v>
      </c>
      <c r="J60" t="str">
        <f>Table134[[#This Row],[First Name]]&amp;" "&amp;Table134[[#This Row],[Last Name]]</f>
        <v>Rick Williams</v>
      </c>
      <c r="K60" t="s">
        <v>46</v>
      </c>
      <c r="L60" s="5">
        <f>Table134[[#This Row],[Calls Reached]]/Table134[[#This Row],[Total Calls]]</f>
        <v>0.22222222222222221</v>
      </c>
      <c r="M60" s="5">
        <f>Table134[[#This Row],[Deals Closed]]/Table134[[#This Row],[Calls Reached]]</f>
        <v>0.15</v>
      </c>
      <c r="N60" s="6">
        <f>IFERROR(Table134[[#This Row],[Deal Value ($)]]/Table134[[#This Row],[Deals Closed]],0)</f>
        <v>887.48</v>
      </c>
      <c r="O60" s="6">
        <f>Table134[[#This Row],[Deal Value ($)]]/Table134[[#This Row],[Total Calls]]</f>
        <v>29.582666666666668</v>
      </c>
      <c r="P60" t="str">
        <f>IF(Table134[[#This Row],[Conversion Rate]]&gt;=20%,"High","Low")</f>
        <v>Low</v>
      </c>
    </row>
    <row r="61" spans="1:16" x14ac:dyDescent="0.25">
      <c r="A61" s="2">
        <v>45323</v>
      </c>
      <c r="B61" s="2" t="str">
        <f>TEXT(Table134[[#This Row],[Date]],"MMM")</f>
        <v>Feb</v>
      </c>
      <c r="C61">
        <v>48</v>
      </c>
      <c r="D61">
        <v>7</v>
      </c>
      <c r="E61" s="3">
        <v>247.66</v>
      </c>
      <c r="F61">
        <v>6</v>
      </c>
      <c r="G61" s="6">
        <v>4335.84</v>
      </c>
      <c r="H61" t="s">
        <v>16</v>
      </c>
      <c r="I61" t="s">
        <v>37</v>
      </c>
      <c r="J61" t="str">
        <f>Table134[[#This Row],[First Name]]&amp;" "&amp;Table134[[#This Row],[Last Name]]</f>
        <v>Charlie Johnson</v>
      </c>
      <c r="K61" t="s">
        <v>46</v>
      </c>
      <c r="L61" s="5">
        <f>Table134[[#This Row],[Calls Reached]]/Table134[[#This Row],[Total Calls]]</f>
        <v>0.14583333333333334</v>
      </c>
      <c r="M61" s="5">
        <f>Table134[[#This Row],[Deals Closed]]/Table134[[#This Row],[Calls Reached]]</f>
        <v>0.8571428571428571</v>
      </c>
      <c r="N61" s="6">
        <f>IFERROR(Table134[[#This Row],[Deal Value ($)]]/Table134[[#This Row],[Deals Closed]],0)</f>
        <v>722.64</v>
      </c>
      <c r="O61" s="6">
        <f>Table134[[#This Row],[Deal Value ($)]]/Table134[[#This Row],[Total Calls]]</f>
        <v>90.33</v>
      </c>
      <c r="P61" t="str">
        <f>IF(Table134[[#This Row],[Conversion Rate]]&gt;=20%,"High","Low")</f>
        <v>High</v>
      </c>
    </row>
    <row r="62" spans="1:16" x14ac:dyDescent="0.25">
      <c r="A62" s="2">
        <v>45323</v>
      </c>
      <c r="B62" s="2" t="str">
        <f>TEXT(Table134[[#This Row],[Date]],"MMM")</f>
        <v>Feb</v>
      </c>
      <c r="C62">
        <v>37</v>
      </c>
      <c r="D62">
        <v>17</v>
      </c>
      <c r="E62" s="3">
        <v>378.61</v>
      </c>
      <c r="F62">
        <v>10</v>
      </c>
      <c r="G62" s="6">
        <v>1295.07</v>
      </c>
      <c r="H62" t="s">
        <v>17</v>
      </c>
      <c r="I62" t="s">
        <v>41</v>
      </c>
      <c r="J62" t="str">
        <f>Table134[[#This Row],[First Name]]&amp;" "&amp;Table134[[#This Row],[Last Name]]</f>
        <v>Molly Miller</v>
      </c>
      <c r="K62" t="s">
        <v>46</v>
      </c>
      <c r="L62" s="5">
        <f>Table134[[#This Row],[Calls Reached]]/Table134[[#This Row],[Total Calls]]</f>
        <v>0.45945945945945948</v>
      </c>
      <c r="M62" s="5">
        <f>Table134[[#This Row],[Deals Closed]]/Table134[[#This Row],[Calls Reached]]</f>
        <v>0.58823529411764708</v>
      </c>
      <c r="N62" s="6">
        <f>IFERROR(Table134[[#This Row],[Deal Value ($)]]/Table134[[#This Row],[Deals Closed]],0)</f>
        <v>129.50700000000001</v>
      </c>
      <c r="O62" s="6">
        <f>Table134[[#This Row],[Deal Value ($)]]/Table134[[#This Row],[Total Calls]]</f>
        <v>35.001891891891887</v>
      </c>
      <c r="P62" t="str">
        <f>IF(Table134[[#This Row],[Conversion Rate]]&gt;=20%,"High","Low")</f>
        <v>High</v>
      </c>
    </row>
    <row r="63" spans="1:16" x14ac:dyDescent="0.25">
      <c r="A63" s="2">
        <v>45323</v>
      </c>
      <c r="B63" s="2" t="str">
        <f>TEXT(Table134[[#This Row],[Date]],"MMM")</f>
        <v>Feb</v>
      </c>
      <c r="C63">
        <v>68</v>
      </c>
      <c r="D63">
        <v>16</v>
      </c>
      <c r="E63" s="3">
        <v>299.58999999999997</v>
      </c>
      <c r="F63">
        <v>9</v>
      </c>
      <c r="G63" s="6">
        <v>979.47</v>
      </c>
      <c r="H63" t="s">
        <v>18</v>
      </c>
      <c r="I63" t="s">
        <v>39</v>
      </c>
      <c r="J63" t="str">
        <f>Table134[[#This Row],[First Name]]&amp;" "&amp;Table134[[#This Row],[Last Name]]</f>
        <v>Chris Jones</v>
      </c>
      <c r="K63" t="s">
        <v>45</v>
      </c>
      <c r="L63" s="5">
        <f>Table134[[#This Row],[Calls Reached]]/Table134[[#This Row],[Total Calls]]</f>
        <v>0.23529411764705882</v>
      </c>
      <c r="M63" s="5">
        <f>Table134[[#This Row],[Deals Closed]]/Table134[[#This Row],[Calls Reached]]</f>
        <v>0.5625</v>
      </c>
      <c r="N63" s="6">
        <f>IFERROR(Table134[[#This Row],[Deal Value ($)]]/Table134[[#This Row],[Deals Closed]],0)</f>
        <v>108.83</v>
      </c>
      <c r="O63" s="6">
        <f>Table134[[#This Row],[Deal Value ($)]]/Table134[[#This Row],[Total Calls]]</f>
        <v>14.403970588235294</v>
      </c>
      <c r="P63" t="str">
        <f>IF(Table134[[#This Row],[Conversion Rate]]&gt;=20%,"High","Low")</f>
        <v>High</v>
      </c>
    </row>
    <row r="64" spans="1:16" x14ac:dyDescent="0.25">
      <c r="A64" s="2">
        <v>45323</v>
      </c>
      <c r="B64" s="2" t="str">
        <f>TEXT(Table134[[#This Row],[Date]],"MMM")</f>
        <v>Feb</v>
      </c>
      <c r="C64">
        <v>20</v>
      </c>
      <c r="D64">
        <v>9</v>
      </c>
      <c r="E64" s="3">
        <v>202.4</v>
      </c>
      <c r="F64">
        <v>7</v>
      </c>
      <c r="G64" s="6">
        <v>732.99</v>
      </c>
      <c r="H64" t="s">
        <v>19</v>
      </c>
      <c r="I64" t="s">
        <v>39</v>
      </c>
      <c r="J64" t="str">
        <f>Table134[[#This Row],[First Name]]&amp;" "&amp;Table134[[#This Row],[Last Name]]</f>
        <v>James Jones</v>
      </c>
      <c r="K64" t="s">
        <v>46</v>
      </c>
      <c r="L64" s="5">
        <f>Table134[[#This Row],[Calls Reached]]/Table134[[#This Row],[Total Calls]]</f>
        <v>0.45</v>
      </c>
      <c r="M64" s="5">
        <f>Table134[[#This Row],[Deals Closed]]/Table134[[#This Row],[Calls Reached]]</f>
        <v>0.77777777777777779</v>
      </c>
      <c r="N64" s="6">
        <f>IFERROR(Table134[[#This Row],[Deal Value ($)]]/Table134[[#This Row],[Deals Closed]],0)</f>
        <v>104.71285714285715</v>
      </c>
      <c r="O64" s="6">
        <f>Table134[[#This Row],[Deal Value ($)]]/Table134[[#This Row],[Total Calls]]</f>
        <v>36.649500000000003</v>
      </c>
      <c r="P64" t="str">
        <f>IF(Table134[[#This Row],[Conversion Rate]]&gt;=20%,"High","Low")</f>
        <v>High</v>
      </c>
    </row>
    <row r="65" spans="1:16" x14ac:dyDescent="0.25">
      <c r="A65" s="2">
        <v>45323</v>
      </c>
      <c r="B65" s="2" t="str">
        <f>TEXT(Table134[[#This Row],[Date]],"MMM")</f>
        <v>Feb</v>
      </c>
      <c r="C65">
        <v>81</v>
      </c>
      <c r="D65">
        <v>14</v>
      </c>
      <c r="E65" s="3">
        <v>362.96</v>
      </c>
      <c r="F65">
        <v>5</v>
      </c>
      <c r="G65" s="6">
        <v>3620.19</v>
      </c>
      <c r="H65" t="s">
        <v>10</v>
      </c>
      <c r="I65" t="s">
        <v>44</v>
      </c>
      <c r="J65" t="str">
        <f>Table134[[#This Row],[First Name]]&amp;" "&amp;Table134[[#This Row],[Last Name]]</f>
        <v>Alice Brown</v>
      </c>
      <c r="K65" t="s">
        <v>46</v>
      </c>
      <c r="L65" s="5">
        <f>Table134[[#This Row],[Calls Reached]]/Table134[[#This Row],[Total Calls]]</f>
        <v>0.1728395061728395</v>
      </c>
      <c r="M65" s="5">
        <f>Table134[[#This Row],[Deals Closed]]/Table134[[#This Row],[Calls Reached]]</f>
        <v>0.35714285714285715</v>
      </c>
      <c r="N65" s="6">
        <f>IFERROR(Table134[[#This Row],[Deal Value ($)]]/Table134[[#This Row],[Deals Closed]],0)</f>
        <v>724.03800000000001</v>
      </c>
      <c r="O65" s="6">
        <f>Table134[[#This Row],[Deal Value ($)]]/Table134[[#This Row],[Total Calls]]</f>
        <v>44.693703703703704</v>
      </c>
      <c r="P65" t="str">
        <f>IF(Table134[[#This Row],[Conversion Rate]]&gt;=20%,"High","Low")</f>
        <v>High</v>
      </c>
    </row>
    <row r="66" spans="1:16" x14ac:dyDescent="0.25">
      <c r="A66" s="2">
        <v>45323</v>
      </c>
      <c r="B66" s="2" t="str">
        <f>TEXT(Table134[[#This Row],[Date]],"MMM")</f>
        <v>Feb</v>
      </c>
      <c r="C66">
        <v>68</v>
      </c>
      <c r="D66">
        <v>21</v>
      </c>
      <c r="E66" s="3">
        <v>553.08000000000004</v>
      </c>
      <c r="F66">
        <v>3</v>
      </c>
      <c r="G66" s="6">
        <v>360.7</v>
      </c>
      <c r="H66" t="s">
        <v>21</v>
      </c>
      <c r="I66" t="s">
        <v>40</v>
      </c>
      <c r="J66" t="str">
        <f>Table134[[#This Row],[First Name]]&amp;" "&amp;Table134[[#This Row],[Last Name]]</f>
        <v>Paul Davis</v>
      </c>
      <c r="K66" t="s">
        <v>45</v>
      </c>
      <c r="L66" s="5">
        <f>Table134[[#This Row],[Calls Reached]]/Table134[[#This Row],[Total Calls]]</f>
        <v>0.30882352941176472</v>
      </c>
      <c r="M66" s="5">
        <f>Table134[[#This Row],[Deals Closed]]/Table134[[#This Row],[Calls Reached]]</f>
        <v>0.14285714285714285</v>
      </c>
      <c r="N66" s="6">
        <f>IFERROR(Table134[[#This Row],[Deal Value ($)]]/Table134[[#This Row],[Deals Closed]],0)</f>
        <v>120.23333333333333</v>
      </c>
      <c r="O66" s="6">
        <f>Table134[[#This Row],[Deal Value ($)]]/Table134[[#This Row],[Total Calls]]</f>
        <v>5.3044117647058826</v>
      </c>
      <c r="P66" t="str">
        <f>IF(Table134[[#This Row],[Conversion Rate]]&gt;=20%,"High","Low")</f>
        <v>Low</v>
      </c>
    </row>
    <row r="67" spans="1:16" x14ac:dyDescent="0.25">
      <c r="A67" s="2">
        <v>45323</v>
      </c>
      <c r="B67" s="2" t="str">
        <f>TEXT(Table134[[#This Row],[Date]],"MMM")</f>
        <v>Feb</v>
      </c>
      <c r="C67">
        <v>30</v>
      </c>
      <c r="D67">
        <v>8</v>
      </c>
      <c r="E67" s="3">
        <v>223.22</v>
      </c>
      <c r="F67">
        <v>2</v>
      </c>
      <c r="G67" s="6">
        <v>3595.12</v>
      </c>
      <c r="H67" t="s">
        <v>22</v>
      </c>
      <c r="I67" t="s">
        <v>43</v>
      </c>
      <c r="J67" t="str">
        <f>Table134[[#This Row],[First Name]]&amp;" "&amp;Table134[[#This Row],[Last Name]]</f>
        <v>Ian Williams</v>
      </c>
      <c r="K67" t="s">
        <v>46</v>
      </c>
      <c r="L67" s="5">
        <f>Table134[[#This Row],[Calls Reached]]/Table134[[#This Row],[Total Calls]]</f>
        <v>0.26666666666666666</v>
      </c>
      <c r="M67" s="5">
        <f>Table134[[#This Row],[Deals Closed]]/Table134[[#This Row],[Calls Reached]]</f>
        <v>0.25</v>
      </c>
      <c r="N67" s="6">
        <f>IFERROR(Table134[[#This Row],[Deal Value ($)]]/Table134[[#This Row],[Deals Closed]],0)</f>
        <v>1797.56</v>
      </c>
      <c r="O67" s="6">
        <f>Table134[[#This Row],[Deal Value ($)]]/Table134[[#This Row],[Total Calls]]</f>
        <v>119.83733333333333</v>
      </c>
      <c r="P67" t="str">
        <f>IF(Table134[[#This Row],[Conversion Rate]]&gt;=20%,"High","Low")</f>
        <v>High</v>
      </c>
    </row>
    <row r="68" spans="1:16" x14ac:dyDescent="0.25">
      <c r="A68" s="2">
        <v>45323</v>
      </c>
      <c r="B68" s="2" t="str">
        <f>TEXT(Table134[[#This Row],[Date]],"MMM")</f>
        <v>Feb</v>
      </c>
      <c r="C68">
        <v>69</v>
      </c>
      <c r="D68">
        <v>8</v>
      </c>
      <c r="E68" s="3">
        <v>199.93</v>
      </c>
      <c r="F68">
        <v>2</v>
      </c>
      <c r="G68" s="6">
        <v>610.66</v>
      </c>
      <c r="H68" t="s">
        <v>23</v>
      </c>
      <c r="I68" t="s">
        <v>37</v>
      </c>
      <c r="J68" t="str">
        <f>Table134[[#This Row],[First Name]]&amp;" "&amp;Table134[[#This Row],[Last Name]]</f>
        <v>Melissa Johnson</v>
      </c>
      <c r="K68" t="s">
        <v>46</v>
      </c>
      <c r="L68" s="5">
        <f>Table134[[#This Row],[Calls Reached]]/Table134[[#This Row],[Total Calls]]</f>
        <v>0.11594202898550725</v>
      </c>
      <c r="M68" s="5">
        <f>Table134[[#This Row],[Deals Closed]]/Table134[[#This Row],[Calls Reached]]</f>
        <v>0.25</v>
      </c>
      <c r="N68" s="6">
        <f>IFERROR(Table134[[#This Row],[Deal Value ($)]]/Table134[[#This Row],[Deals Closed]],0)</f>
        <v>305.33</v>
      </c>
      <c r="O68" s="6">
        <f>Table134[[#This Row],[Deal Value ($)]]/Table134[[#This Row],[Total Calls]]</f>
        <v>8.8501449275362312</v>
      </c>
      <c r="P68" t="str">
        <f>IF(Table134[[#This Row],[Conversion Rate]]&gt;=20%,"High","Low")</f>
        <v>High</v>
      </c>
    </row>
    <row r="69" spans="1:16" x14ac:dyDescent="0.25">
      <c r="A69" s="2">
        <v>45323</v>
      </c>
      <c r="B69" s="2" t="str">
        <f>TEXT(Table134[[#This Row],[Date]],"MMM")</f>
        <v>Feb</v>
      </c>
      <c r="C69">
        <v>92</v>
      </c>
      <c r="D69">
        <v>6</v>
      </c>
      <c r="E69" s="3">
        <v>180.46</v>
      </c>
      <c r="F69">
        <v>5</v>
      </c>
      <c r="G69" s="6">
        <v>1173.27</v>
      </c>
      <c r="H69" t="s">
        <v>24</v>
      </c>
      <c r="I69" t="s">
        <v>44</v>
      </c>
      <c r="J69" t="str">
        <f>Table134[[#This Row],[First Name]]&amp;" "&amp;Table134[[#This Row],[Last Name]]</f>
        <v>Alex Brown</v>
      </c>
      <c r="K69" t="s">
        <v>46</v>
      </c>
      <c r="L69" s="5">
        <f>Table134[[#This Row],[Calls Reached]]/Table134[[#This Row],[Total Calls]]</f>
        <v>6.5217391304347824E-2</v>
      </c>
      <c r="M69" s="5">
        <f>Table134[[#This Row],[Deals Closed]]/Table134[[#This Row],[Calls Reached]]</f>
        <v>0.83333333333333337</v>
      </c>
      <c r="N69" s="6">
        <f>IFERROR(Table134[[#This Row],[Deal Value ($)]]/Table134[[#This Row],[Deals Closed]],0)</f>
        <v>234.654</v>
      </c>
      <c r="O69" s="6">
        <f>Table134[[#This Row],[Deal Value ($)]]/Table134[[#This Row],[Total Calls]]</f>
        <v>12.752934782608696</v>
      </c>
      <c r="P69" t="str">
        <f>IF(Table134[[#This Row],[Conversion Rate]]&gt;=20%,"High","Low")</f>
        <v>High</v>
      </c>
    </row>
    <row r="70" spans="1:16" x14ac:dyDescent="0.25">
      <c r="A70" s="2">
        <v>45323</v>
      </c>
      <c r="B70" s="2" t="str">
        <f>TEXT(Table134[[#This Row],[Date]],"MMM")</f>
        <v>Feb</v>
      </c>
      <c r="C70">
        <v>92</v>
      </c>
      <c r="D70">
        <v>7</v>
      </c>
      <c r="E70" s="3">
        <v>80.12</v>
      </c>
      <c r="F70">
        <v>6</v>
      </c>
      <c r="G70" s="6">
        <v>3794.02</v>
      </c>
      <c r="H70" t="s">
        <v>25</v>
      </c>
      <c r="I70" t="s">
        <v>39</v>
      </c>
      <c r="J70" t="str">
        <f>Table134[[#This Row],[First Name]]&amp;" "&amp;Table134[[#This Row],[Last Name]]</f>
        <v>Karol Jones</v>
      </c>
      <c r="K70" t="s">
        <v>46</v>
      </c>
      <c r="L70" s="5">
        <f>Table134[[#This Row],[Calls Reached]]/Table134[[#This Row],[Total Calls]]</f>
        <v>7.6086956521739135E-2</v>
      </c>
      <c r="M70" s="5">
        <f>Table134[[#This Row],[Deals Closed]]/Table134[[#This Row],[Calls Reached]]</f>
        <v>0.8571428571428571</v>
      </c>
      <c r="N70" s="6">
        <f>IFERROR(Table134[[#This Row],[Deal Value ($)]]/Table134[[#This Row],[Deals Closed]],0)</f>
        <v>632.3366666666667</v>
      </c>
      <c r="O70" s="6">
        <f>Table134[[#This Row],[Deal Value ($)]]/Table134[[#This Row],[Total Calls]]</f>
        <v>41.239347826086956</v>
      </c>
      <c r="P70" t="str">
        <f>IF(Table134[[#This Row],[Conversion Rate]]&gt;=20%,"High","Low")</f>
        <v>High</v>
      </c>
    </row>
    <row r="71" spans="1:16" x14ac:dyDescent="0.25">
      <c r="A71" s="2">
        <v>45323</v>
      </c>
      <c r="B71" s="2" t="str">
        <f>TEXT(Table134[[#This Row],[Date]],"MMM")</f>
        <v>Feb</v>
      </c>
      <c r="C71">
        <v>21</v>
      </c>
      <c r="D71">
        <v>14</v>
      </c>
      <c r="E71" s="3">
        <v>563.79</v>
      </c>
      <c r="F71">
        <v>8</v>
      </c>
      <c r="G71" s="6">
        <v>3616.21</v>
      </c>
      <c r="H71" t="s">
        <v>26</v>
      </c>
      <c r="I71" t="s">
        <v>37</v>
      </c>
      <c r="J71" t="str">
        <f>Table134[[#This Row],[First Name]]&amp;" "&amp;Table134[[#This Row],[Last Name]]</f>
        <v>Darren Johnson</v>
      </c>
      <c r="K71" t="s">
        <v>46</v>
      </c>
      <c r="L71" s="5">
        <f>Table134[[#This Row],[Calls Reached]]/Table134[[#This Row],[Total Calls]]</f>
        <v>0.66666666666666663</v>
      </c>
      <c r="M71" s="5">
        <f>Table134[[#This Row],[Deals Closed]]/Table134[[#This Row],[Calls Reached]]</f>
        <v>0.5714285714285714</v>
      </c>
      <c r="N71" s="6">
        <f>IFERROR(Table134[[#This Row],[Deal Value ($)]]/Table134[[#This Row],[Deals Closed]],0)</f>
        <v>452.02625</v>
      </c>
      <c r="O71" s="6">
        <f>Table134[[#This Row],[Deal Value ($)]]/Table134[[#This Row],[Total Calls]]</f>
        <v>172.20047619047619</v>
      </c>
      <c r="P71" t="str">
        <f>IF(Table134[[#This Row],[Conversion Rate]]&gt;=20%,"High","Low")</f>
        <v>High</v>
      </c>
    </row>
    <row r="72" spans="1:16" x14ac:dyDescent="0.25">
      <c r="A72" s="2">
        <v>45323</v>
      </c>
      <c r="B72" s="2" t="str">
        <f>TEXT(Table134[[#This Row],[Date]],"MMM")</f>
        <v>Feb</v>
      </c>
      <c r="C72">
        <v>83</v>
      </c>
      <c r="D72">
        <v>20</v>
      </c>
      <c r="E72" s="3">
        <v>193.39</v>
      </c>
      <c r="F72">
        <v>5</v>
      </c>
      <c r="G72" s="6">
        <v>402.53</v>
      </c>
      <c r="H72" t="s">
        <v>27</v>
      </c>
      <c r="I72" t="s">
        <v>35</v>
      </c>
      <c r="J72" t="str">
        <f>Table134[[#This Row],[First Name]]&amp;" "&amp;Table134[[#This Row],[Last Name]]</f>
        <v>Will Garcia</v>
      </c>
      <c r="K72" t="s">
        <v>46</v>
      </c>
      <c r="L72" s="5">
        <f>Table134[[#This Row],[Calls Reached]]/Table134[[#This Row],[Total Calls]]</f>
        <v>0.24096385542168675</v>
      </c>
      <c r="M72" s="5">
        <f>Table134[[#This Row],[Deals Closed]]/Table134[[#This Row],[Calls Reached]]</f>
        <v>0.25</v>
      </c>
      <c r="N72" s="6">
        <f>IFERROR(Table134[[#This Row],[Deal Value ($)]]/Table134[[#This Row],[Deals Closed]],0)</f>
        <v>80.506</v>
      </c>
      <c r="O72" s="6">
        <f>Table134[[#This Row],[Deal Value ($)]]/Table134[[#This Row],[Total Calls]]</f>
        <v>4.8497590361445777</v>
      </c>
      <c r="P72" t="str">
        <f>IF(Table134[[#This Row],[Conversion Rate]]&gt;=20%,"High","Low")</f>
        <v>High</v>
      </c>
    </row>
    <row r="73" spans="1:16" x14ac:dyDescent="0.25">
      <c r="A73" s="2">
        <v>45323</v>
      </c>
      <c r="B73" s="2" t="str">
        <f>TEXT(Table134[[#This Row],[Date]],"MMM")</f>
        <v>Feb</v>
      </c>
      <c r="C73">
        <v>57</v>
      </c>
      <c r="D73">
        <v>11</v>
      </c>
      <c r="E73" s="3">
        <v>454.77</v>
      </c>
      <c r="F73">
        <v>1</v>
      </c>
      <c r="G73" s="6">
        <v>1152.4100000000001</v>
      </c>
      <c r="H73" t="s">
        <v>28</v>
      </c>
      <c r="I73" t="s">
        <v>40</v>
      </c>
      <c r="J73" t="str">
        <f>Table134[[#This Row],[First Name]]&amp;" "&amp;Table134[[#This Row],[Last Name]]</f>
        <v>Vicky Davis</v>
      </c>
      <c r="K73" t="s">
        <v>46</v>
      </c>
      <c r="L73" s="5">
        <f>Table134[[#This Row],[Calls Reached]]/Table134[[#This Row],[Total Calls]]</f>
        <v>0.19298245614035087</v>
      </c>
      <c r="M73" s="5">
        <f>Table134[[#This Row],[Deals Closed]]/Table134[[#This Row],[Calls Reached]]</f>
        <v>9.0909090909090912E-2</v>
      </c>
      <c r="N73" s="6">
        <f>IFERROR(Table134[[#This Row],[Deal Value ($)]]/Table134[[#This Row],[Deals Closed]],0)</f>
        <v>1152.4100000000001</v>
      </c>
      <c r="O73" s="6">
        <f>Table134[[#This Row],[Deal Value ($)]]/Table134[[#This Row],[Total Calls]]</f>
        <v>20.217719298245616</v>
      </c>
      <c r="P73" t="str">
        <f>IF(Table134[[#This Row],[Conversion Rate]]&gt;=20%,"High","Low")</f>
        <v>Low</v>
      </c>
    </row>
    <row r="74" spans="1:16" x14ac:dyDescent="0.25">
      <c r="A74" s="2">
        <v>45323</v>
      </c>
      <c r="B74" s="2" t="str">
        <f>TEXT(Table134[[#This Row],[Date]],"MMM")</f>
        <v>Feb</v>
      </c>
      <c r="C74">
        <v>35</v>
      </c>
      <c r="D74">
        <v>6</v>
      </c>
      <c r="E74" s="3">
        <v>568.38</v>
      </c>
      <c r="F74">
        <v>6</v>
      </c>
      <c r="G74" s="6">
        <v>3949.69</v>
      </c>
      <c r="H74" t="s">
        <v>20</v>
      </c>
      <c r="I74" t="s">
        <v>41</v>
      </c>
      <c r="J74" t="str">
        <f>Table134[[#This Row],[First Name]]&amp;" "&amp;Table134[[#This Row],[Last Name]]</f>
        <v>Richard Miller</v>
      </c>
      <c r="K74" t="s">
        <v>46</v>
      </c>
      <c r="L74" s="5">
        <f>Table134[[#This Row],[Calls Reached]]/Table134[[#This Row],[Total Calls]]</f>
        <v>0.17142857142857143</v>
      </c>
      <c r="M74" s="5">
        <f>Table134[[#This Row],[Deals Closed]]/Table134[[#This Row],[Calls Reached]]</f>
        <v>1</v>
      </c>
      <c r="N74" s="6">
        <f>IFERROR(Table134[[#This Row],[Deal Value ($)]]/Table134[[#This Row],[Deals Closed]],0)</f>
        <v>658.28166666666664</v>
      </c>
      <c r="O74" s="6">
        <f>Table134[[#This Row],[Deal Value ($)]]/Table134[[#This Row],[Total Calls]]</f>
        <v>112.84828571428572</v>
      </c>
      <c r="P74" t="str">
        <f>IF(Table134[[#This Row],[Conversion Rate]]&gt;=20%,"High","Low")</f>
        <v>High</v>
      </c>
    </row>
    <row r="75" spans="1:16" x14ac:dyDescent="0.25">
      <c r="A75" s="2">
        <v>45323</v>
      </c>
      <c r="B75" s="2" t="str">
        <f>TEXT(Table134[[#This Row],[Date]],"MMM")</f>
        <v>Feb</v>
      </c>
      <c r="C75">
        <v>78</v>
      </c>
      <c r="D75">
        <v>5</v>
      </c>
      <c r="E75" s="3">
        <v>553.86</v>
      </c>
      <c r="F75">
        <v>1</v>
      </c>
      <c r="G75" s="6">
        <v>3503.57</v>
      </c>
      <c r="H75" t="s">
        <v>30</v>
      </c>
      <c r="I75" t="s">
        <v>41</v>
      </c>
      <c r="J75" t="str">
        <f>Table134[[#This Row],[First Name]]&amp;" "&amp;Table134[[#This Row],[Last Name]]</f>
        <v>Emma Miller</v>
      </c>
      <c r="K75" t="s">
        <v>45</v>
      </c>
      <c r="L75" s="5">
        <f>Table134[[#This Row],[Calls Reached]]/Table134[[#This Row],[Total Calls]]</f>
        <v>6.4102564102564097E-2</v>
      </c>
      <c r="M75" s="5">
        <f>Table134[[#This Row],[Deals Closed]]/Table134[[#This Row],[Calls Reached]]</f>
        <v>0.2</v>
      </c>
      <c r="N75" s="6">
        <f>IFERROR(Table134[[#This Row],[Deal Value ($)]]/Table134[[#This Row],[Deals Closed]],0)</f>
        <v>3503.57</v>
      </c>
      <c r="O75" s="6">
        <f>Table134[[#This Row],[Deal Value ($)]]/Table134[[#This Row],[Total Calls]]</f>
        <v>44.917564102564107</v>
      </c>
      <c r="P75" t="str">
        <f>IF(Table134[[#This Row],[Conversion Rate]]&gt;=20%,"High","Low")</f>
        <v>High</v>
      </c>
    </row>
    <row r="76" spans="1:16" x14ac:dyDescent="0.25">
      <c r="A76" s="2">
        <v>45324</v>
      </c>
      <c r="B76" s="2" t="str">
        <f>TEXT(Table134[[#This Row],[Date]],"MMM")</f>
        <v>Feb</v>
      </c>
      <c r="C76">
        <v>51</v>
      </c>
      <c r="D76">
        <v>46</v>
      </c>
      <c r="E76" s="3">
        <v>494.80907139727702</v>
      </c>
      <c r="F76">
        <v>2</v>
      </c>
      <c r="G76" s="6">
        <v>2179.8919232588878</v>
      </c>
      <c r="H76" t="s">
        <v>10</v>
      </c>
      <c r="I76" t="s">
        <v>44</v>
      </c>
      <c r="J76" t="str">
        <f>Table134[[#This Row],[First Name]]&amp;" "&amp;Table134[[#This Row],[Last Name]]</f>
        <v>Alice Brown</v>
      </c>
      <c r="K76" t="s">
        <v>45</v>
      </c>
      <c r="L76" s="5">
        <f>Table134[[#This Row],[Calls Reached]]/Table134[[#This Row],[Total Calls]]</f>
        <v>0.90196078431372551</v>
      </c>
      <c r="M76" s="5">
        <f>Table134[[#This Row],[Deals Closed]]/Table134[[#This Row],[Calls Reached]]</f>
        <v>4.3478260869565216E-2</v>
      </c>
      <c r="N76" s="6">
        <f>IFERROR(Table134[[#This Row],[Deal Value ($)]]/Table134[[#This Row],[Deals Closed]],0)</f>
        <v>1089.9459616294439</v>
      </c>
      <c r="O76" s="6">
        <f>Table134[[#This Row],[Deal Value ($)]]/Table134[[#This Row],[Total Calls]]</f>
        <v>42.742978887429175</v>
      </c>
      <c r="P76" t="str">
        <f>IF(Table134[[#This Row],[Conversion Rate]]&gt;=20%,"High","Low")</f>
        <v>Low</v>
      </c>
    </row>
    <row r="77" spans="1:16" x14ac:dyDescent="0.25">
      <c r="A77" s="2">
        <v>45327</v>
      </c>
      <c r="B77" s="2" t="str">
        <f>TEXT(Table134[[#This Row],[Date]],"MMM")</f>
        <v>Feb</v>
      </c>
      <c r="C77">
        <v>70</v>
      </c>
      <c r="D77">
        <v>41</v>
      </c>
      <c r="E77" s="3">
        <v>145.6030515243452</v>
      </c>
      <c r="F77">
        <v>30</v>
      </c>
      <c r="G77" s="6">
        <v>1718.351029145992</v>
      </c>
      <c r="H77" t="s">
        <v>9</v>
      </c>
      <c r="I77" t="s">
        <v>42</v>
      </c>
      <c r="J77" t="str">
        <f>Table134[[#This Row],[First Name]]&amp;" "&amp;Table134[[#This Row],[Last Name]]</f>
        <v>Evan Martinez</v>
      </c>
      <c r="K77" t="s">
        <v>46</v>
      </c>
      <c r="L77" s="5">
        <f>Table134[[#This Row],[Calls Reached]]/Table134[[#This Row],[Total Calls]]</f>
        <v>0.58571428571428574</v>
      </c>
      <c r="M77" s="5">
        <f>Table134[[#This Row],[Deals Closed]]/Table134[[#This Row],[Calls Reached]]</f>
        <v>0.73170731707317072</v>
      </c>
      <c r="N77" s="6">
        <f>IFERROR(Table134[[#This Row],[Deal Value ($)]]/Table134[[#This Row],[Deals Closed]],0)</f>
        <v>57.278367638199732</v>
      </c>
      <c r="O77" s="6">
        <f>Table134[[#This Row],[Deal Value ($)]]/Table134[[#This Row],[Total Calls]]</f>
        <v>24.547871844942744</v>
      </c>
      <c r="P77" t="str">
        <f>IF(Table134[[#This Row],[Conversion Rate]]&gt;=20%,"High","Low")</f>
        <v>High</v>
      </c>
    </row>
    <row r="78" spans="1:16" x14ac:dyDescent="0.25">
      <c r="A78" s="2">
        <v>45328</v>
      </c>
      <c r="B78" s="2" t="str">
        <f>TEXT(Table134[[#This Row],[Date]],"MMM")</f>
        <v>Feb</v>
      </c>
      <c r="C78">
        <v>82</v>
      </c>
      <c r="D78">
        <v>18</v>
      </c>
      <c r="E78" s="3">
        <v>347.21015235129067</v>
      </c>
      <c r="F78">
        <v>39</v>
      </c>
      <c r="G78" s="6">
        <v>3397.9979445755712</v>
      </c>
      <c r="H78" t="s">
        <v>12</v>
      </c>
      <c r="I78" t="s">
        <v>36</v>
      </c>
      <c r="J78" t="str">
        <f>Table134[[#This Row],[First Name]]&amp;" "&amp;Table134[[#This Row],[Last Name]]</f>
        <v>Jake Smith</v>
      </c>
      <c r="K78" t="s">
        <v>46</v>
      </c>
      <c r="L78" s="5">
        <f>Table134[[#This Row],[Calls Reached]]/Table134[[#This Row],[Total Calls]]</f>
        <v>0.21951219512195122</v>
      </c>
      <c r="M78" s="5">
        <f>Table134[[#This Row],[Deals Closed]]/Table134[[#This Row],[Calls Reached]]</f>
        <v>2.1666666666666665</v>
      </c>
      <c r="N78" s="6">
        <f>IFERROR(Table134[[#This Row],[Deal Value ($)]]/Table134[[#This Row],[Deals Closed]],0)</f>
        <v>87.128152425014648</v>
      </c>
      <c r="O78" s="6">
        <f>Table134[[#This Row],[Deal Value ($)]]/Table134[[#This Row],[Total Calls]]</f>
        <v>41.438999324092329</v>
      </c>
      <c r="P78" t="str">
        <f>IF(Table134[[#This Row],[Conversion Rate]]&gt;=20%,"High","Low")</f>
        <v>High</v>
      </c>
    </row>
    <row r="79" spans="1:16" x14ac:dyDescent="0.25">
      <c r="A79" s="2">
        <v>45329</v>
      </c>
      <c r="B79" s="2" t="str">
        <f>TEXT(Table134[[#This Row],[Date]],"MMM")</f>
        <v>Feb</v>
      </c>
      <c r="C79">
        <v>61</v>
      </c>
      <c r="D79">
        <v>28</v>
      </c>
      <c r="E79" s="3">
        <v>128.77938000832211</v>
      </c>
      <c r="F79">
        <v>36</v>
      </c>
      <c r="G79" s="6">
        <v>2339.303769941434</v>
      </c>
      <c r="H79" t="s">
        <v>47</v>
      </c>
      <c r="I79" t="s">
        <v>36</v>
      </c>
      <c r="J79" t="str">
        <f>Table134[[#This Row],[First Name]]&amp;" "&amp;Table134[[#This Row],[Last Name]]</f>
        <v>John Smith</v>
      </c>
      <c r="K79" t="s">
        <v>46</v>
      </c>
      <c r="L79" s="5">
        <f>Table134[[#This Row],[Calls Reached]]/Table134[[#This Row],[Total Calls]]</f>
        <v>0.45901639344262296</v>
      </c>
      <c r="M79" s="5">
        <f>Table134[[#This Row],[Deals Closed]]/Table134[[#This Row],[Calls Reached]]</f>
        <v>1.2857142857142858</v>
      </c>
      <c r="N79" s="6">
        <f>IFERROR(Table134[[#This Row],[Deal Value ($)]]/Table134[[#This Row],[Deals Closed]],0)</f>
        <v>64.980660276150942</v>
      </c>
      <c r="O79" s="6">
        <f>Table134[[#This Row],[Deal Value ($)]]/Table134[[#This Row],[Total Calls]]</f>
        <v>38.349242130187442</v>
      </c>
      <c r="P79" t="str">
        <f>IF(Table134[[#This Row],[Conversion Rate]]&gt;=20%,"High","Low")</f>
        <v>High</v>
      </c>
    </row>
    <row r="80" spans="1:16" x14ac:dyDescent="0.25">
      <c r="A80" s="2">
        <v>45330</v>
      </c>
      <c r="B80" s="2" t="str">
        <f>TEXT(Table134[[#This Row],[Date]],"MMM")</f>
        <v>Feb</v>
      </c>
      <c r="C80">
        <v>71</v>
      </c>
      <c r="D80">
        <v>57</v>
      </c>
      <c r="E80" s="3">
        <v>374.76444116186781</v>
      </c>
      <c r="F80">
        <v>35</v>
      </c>
      <c r="G80" s="6">
        <v>614.23860047155188</v>
      </c>
      <c r="H80" t="s">
        <v>47</v>
      </c>
      <c r="I80" t="s">
        <v>35</v>
      </c>
      <c r="J80" t="str">
        <f>Table134[[#This Row],[First Name]]&amp;" "&amp;Table134[[#This Row],[Last Name]]</f>
        <v>John Garcia</v>
      </c>
      <c r="K80" t="s">
        <v>46</v>
      </c>
      <c r="L80" s="5">
        <f>Table134[[#This Row],[Calls Reached]]/Table134[[#This Row],[Total Calls]]</f>
        <v>0.80281690140845074</v>
      </c>
      <c r="M80" s="5">
        <f>Table134[[#This Row],[Deals Closed]]/Table134[[#This Row],[Calls Reached]]</f>
        <v>0.61403508771929827</v>
      </c>
      <c r="N80" s="6">
        <f>IFERROR(Table134[[#This Row],[Deal Value ($)]]/Table134[[#This Row],[Deals Closed]],0)</f>
        <v>17.549674299187195</v>
      </c>
      <c r="O80" s="6">
        <f>Table134[[#This Row],[Deal Value ($)]]/Table134[[#This Row],[Total Calls]]</f>
        <v>8.65124789396552</v>
      </c>
      <c r="P80" t="str">
        <f>IF(Table134[[#This Row],[Conversion Rate]]&gt;=20%,"High","Low")</f>
        <v>High</v>
      </c>
    </row>
    <row r="81" spans="1:16" x14ac:dyDescent="0.25">
      <c r="A81" s="2">
        <v>45331</v>
      </c>
      <c r="B81" s="2" t="str">
        <f>TEXT(Table134[[#This Row],[Date]],"MMM")</f>
        <v>Feb</v>
      </c>
      <c r="C81">
        <v>93</v>
      </c>
      <c r="D81">
        <v>12</v>
      </c>
      <c r="E81" s="3">
        <v>320.76525068668849</v>
      </c>
      <c r="F81">
        <v>23</v>
      </c>
      <c r="G81" s="6">
        <v>1202.686688147857</v>
      </c>
      <c r="H81" t="s">
        <v>48</v>
      </c>
      <c r="I81" t="s">
        <v>35</v>
      </c>
      <c r="J81" t="str">
        <f>Table134[[#This Row],[First Name]]&amp;" "&amp;Table134[[#This Row],[Last Name]]</f>
        <v>Anna Garcia</v>
      </c>
      <c r="K81" t="s">
        <v>46</v>
      </c>
      <c r="L81" s="5">
        <f>Table134[[#This Row],[Calls Reached]]/Table134[[#This Row],[Total Calls]]</f>
        <v>0.12903225806451613</v>
      </c>
      <c r="M81" s="5">
        <f>Table134[[#This Row],[Deals Closed]]/Table134[[#This Row],[Calls Reached]]</f>
        <v>1.9166666666666667</v>
      </c>
      <c r="N81" s="6">
        <f>IFERROR(Table134[[#This Row],[Deal Value ($)]]/Table134[[#This Row],[Deals Closed]],0)</f>
        <v>52.290725571645957</v>
      </c>
      <c r="O81" s="6">
        <f>Table134[[#This Row],[Deal Value ($)]]/Table134[[#This Row],[Total Calls]]</f>
        <v>12.932114926321043</v>
      </c>
      <c r="P81" t="str">
        <f>IF(Table134[[#This Row],[Conversion Rate]]&gt;=20%,"High","Low")</f>
        <v>High</v>
      </c>
    </row>
    <row r="82" spans="1:16" x14ac:dyDescent="0.25">
      <c r="A82" s="2">
        <v>45334</v>
      </c>
      <c r="B82" s="2" t="str">
        <f>TEXT(Table134[[#This Row],[Date]],"MMM")</f>
        <v>Feb</v>
      </c>
      <c r="C82">
        <v>74</v>
      </c>
      <c r="D82">
        <v>29</v>
      </c>
      <c r="E82" s="3">
        <v>543.8520913791499</v>
      </c>
      <c r="F82">
        <v>30</v>
      </c>
      <c r="G82" s="6">
        <v>3721.8750298132891</v>
      </c>
      <c r="H82" t="s">
        <v>34</v>
      </c>
      <c r="I82" t="s">
        <v>40</v>
      </c>
      <c r="J82" t="str">
        <f>Table134[[#This Row],[First Name]]&amp;" "&amp;Table134[[#This Row],[Last Name]]</f>
        <v>Mimi Davis</v>
      </c>
      <c r="K82" t="s">
        <v>45</v>
      </c>
      <c r="L82" s="5">
        <f>Table134[[#This Row],[Calls Reached]]/Table134[[#This Row],[Total Calls]]</f>
        <v>0.39189189189189189</v>
      </c>
      <c r="M82" s="5">
        <f>Table134[[#This Row],[Deals Closed]]/Table134[[#This Row],[Calls Reached]]</f>
        <v>1.0344827586206897</v>
      </c>
      <c r="N82" s="6">
        <f>IFERROR(Table134[[#This Row],[Deal Value ($)]]/Table134[[#This Row],[Deals Closed]],0)</f>
        <v>124.0625009937763</v>
      </c>
      <c r="O82" s="6">
        <f>Table134[[#This Row],[Deal Value ($)]]/Table134[[#This Row],[Total Calls]]</f>
        <v>50.295608510990391</v>
      </c>
      <c r="P82" t="str">
        <f>IF(Table134[[#This Row],[Conversion Rate]]&gt;=20%,"High","Low")</f>
        <v>High</v>
      </c>
    </row>
    <row r="83" spans="1:16" x14ac:dyDescent="0.25">
      <c r="A83" s="2">
        <v>45335</v>
      </c>
      <c r="B83" s="2" t="str">
        <f>TEXT(Table134[[#This Row],[Date]],"MMM")</f>
        <v>Feb</v>
      </c>
      <c r="C83">
        <v>98</v>
      </c>
      <c r="D83">
        <v>33</v>
      </c>
      <c r="E83" s="3">
        <v>275.45750627603928</v>
      </c>
      <c r="F83">
        <v>5</v>
      </c>
      <c r="G83" s="6">
        <v>3465.1577385956812</v>
      </c>
      <c r="H83" t="s">
        <v>9</v>
      </c>
      <c r="I83" t="s">
        <v>38</v>
      </c>
      <c r="J83" t="str">
        <f>Table134[[#This Row],[First Name]]&amp;" "&amp;Table134[[#This Row],[Last Name]]</f>
        <v>Evan Rodriguez</v>
      </c>
      <c r="K83" t="s">
        <v>46</v>
      </c>
      <c r="L83" s="5">
        <f>Table134[[#This Row],[Calls Reached]]/Table134[[#This Row],[Total Calls]]</f>
        <v>0.33673469387755101</v>
      </c>
      <c r="M83" s="5">
        <f>Table134[[#This Row],[Deals Closed]]/Table134[[#This Row],[Calls Reached]]</f>
        <v>0.15151515151515152</v>
      </c>
      <c r="N83" s="6">
        <f>IFERROR(Table134[[#This Row],[Deal Value ($)]]/Table134[[#This Row],[Deals Closed]],0)</f>
        <v>693.03154771913626</v>
      </c>
      <c r="O83" s="6">
        <f>Table134[[#This Row],[Deal Value ($)]]/Table134[[#This Row],[Total Calls]]</f>
        <v>35.358752434649809</v>
      </c>
      <c r="P83" t="str">
        <f>IF(Table134[[#This Row],[Conversion Rate]]&gt;=20%,"High","Low")</f>
        <v>Low</v>
      </c>
    </row>
    <row r="84" spans="1:16" x14ac:dyDescent="0.25">
      <c r="A84" s="2">
        <v>45336</v>
      </c>
      <c r="B84" s="2" t="str">
        <f>TEXT(Table134[[#This Row],[Date]],"MMM")</f>
        <v>Feb</v>
      </c>
      <c r="C84">
        <v>76</v>
      </c>
      <c r="D84">
        <v>63</v>
      </c>
      <c r="E84" s="3">
        <v>158.53350821380289</v>
      </c>
      <c r="F84">
        <v>1</v>
      </c>
      <c r="G84" s="6">
        <v>621.93196626567567</v>
      </c>
      <c r="H84" t="s">
        <v>49</v>
      </c>
      <c r="I84" t="s">
        <v>43</v>
      </c>
      <c r="J84" t="str">
        <f>Table134[[#This Row],[First Name]]&amp;" "&amp;Table134[[#This Row],[Last Name]]</f>
        <v>Jane Williams</v>
      </c>
      <c r="K84" t="s">
        <v>46</v>
      </c>
      <c r="L84" s="5">
        <f>Table134[[#This Row],[Calls Reached]]/Table134[[#This Row],[Total Calls]]</f>
        <v>0.82894736842105265</v>
      </c>
      <c r="M84" s="5">
        <f>Table134[[#This Row],[Deals Closed]]/Table134[[#This Row],[Calls Reached]]</f>
        <v>1.5873015873015872E-2</v>
      </c>
      <c r="N84" s="6">
        <f>IFERROR(Table134[[#This Row],[Deal Value ($)]]/Table134[[#This Row],[Deals Closed]],0)</f>
        <v>621.93196626567567</v>
      </c>
      <c r="O84" s="6">
        <f>Table134[[#This Row],[Deal Value ($)]]/Table134[[#This Row],[Total Calls]]</f>
        <v>8.1833153456009953</v>
      </c>
      <c r="P84" t="str">
        <f>IF(Table134[[#This Row],[Conversion Rate]]&gt;=20%,"High","Low")</f>
        <v>Low</v>
      </c>
    </row>
    <row r="85" spans="1:16" x14ac:dyDescent="0.25">
      <c r="A85" s="2">
        <v>45337</v>
      </c>
      <c r="B85" s="2" t="str">
        <f>TEXT(Table134[[#This Row],[Date]],"MMM")</f>
        <v>Feb</v>
      </c>
      <c r="C85">
        <v>91</v>
      </c>
      <c r="D85">
        <v>42</v>
      </c>
      <c r="E85" s="3">
        <v>171.49584102641791</v>
      </c>
      <c r="F85">
        <v>19</v>
      </c>
      <c r="G85" s="6">
        <v>1498.874728698273</v>
      </c>
      <c r="H85" t="s">
        <v>18</v>
      </c>
      <c r="I85" t="s">
        <v>42</v>
      </c>
      <c r="J85" t="str">
        <f>Table134[[#This Row],[First Name]]&amp;" "&amp;Table134[[#This Row],[Last Name]]</f>
        <v>Chris Martinez</v>
      </c>
      <c r="K85" t="s">
        <v>46</v>
      </c>
      <c r="L85" s="5">
        <f>Table134[[#This Row],[Calls Reached]]/Table134[[#This Row],[Total Calls]]</f>
        <v>0.46153846153846156</v>
      </c>
      <c r="M85" s="5">
        <f>Table134[[#This Row],[Deals Closed]]/Table134[[#This Row],[Calls Reached]]</f>
        <v>0.45238095238095238</v>
      </c>
      <c r="N85" s="6">
        <f>IFERROR(Table134[[#This Row],[Deal Value ($)]]/Table134[[#This Row],[Deals Closed]],0)</f>
        <v>78.888143615698581</v>
      </c>
      <c r="O85" s="6">
        <f>Table134[[#This Row],[Deal Value ($)]]/Table134[[#This Row],[Total Calls]]</f>
        <v>16.471150864816188</v>
      </c>
      <c r="P85" t="str">
        <f>IF(Table134[[#This Row],[Conversion Rate]]&gt;=20%,"High","Low")</f>
        <v>High</v>
      </c>
    </row>
    <row r="86" spans="1:16" x14ac:dyDescent="0.25">
      <c r="A86" s="2">
        <v>45338</v>
      </c>
      <c r="B86" s="2" t="str">
        <f>TEXT(Table134[[#This Row],[Date]],"MMM")</f>
        <v>Feb</v>
      </c>
      <c r="C86">
        <v>77</v>
      </c>
      <c r="D86">
        <v>33</v>
      </c>
      <c r="E86" s="3">
        <v>480.75531585873608</v>
      </c>
      <c r="F86">
        <v>27</v>
      </c>
      <c r="G86" s="6">
        <v>1539.8365846463209</v>
      </c>
      <c r="H86" t="s">
        <v>47</v>
      </c>
      <c r="I86" t="s">
        <v>37</v>
      </c>
      <c r="J86" t="str">
        <f>Table134[[#This Row],[First Name]]&amp;" "&amp;Table134[[#This Row],[Last Name]]</f>
        <v>John Johnson</v>
      </c>
      <c r="K86" t="s">
        <v>46</v>
      </c>
      <c r="L86" s="5">
        <f>Table134[[#This Row],[Calls Reached]]/Table134[[#This Row],[Total Calls]]</f>
        <v>0.42857142857142855</v>
      </c>
      <c r="M86" s="5">
        <f>Table134[[#This Row],[Deals Closed]]/Table134[[#This Row],[Calls Reached]]</f>
        <v>0.81818181818181823</v>
      </c>
      <c r="N86" s="6">
        <f>IFERROR(Table134[[#This Row],[Deal Value ($)]]/Table134[[#This Row],[Deals Closed]],0)</f>
        <v>57.030984616530404</v>
      </c>
      <c r="O86" s="6">
        <f>Table134[[#This Row],[Deal Value ($)]]/Table134[[#This Row],[Total Calls]]</f>
        <v>19.997877722679494</v>
      </c>
      <c r="P86" t="str">
        <f>IF(Table134[[#This Row],[Conversion Rate]]&gt;=20%,"High","Low")</f>
        <v>High</v>
      </c>
    </row>
    <row r="87" spans="1:16" x14ac:dyDescent="0.25">
      <c r="A87" s="2">
        <v>45341</v>
      </c>
      <c r="B87" s="2" t="str">
        <f>TEXT(Table134[[#This Row],[Date]],"MMM")</f>
        <v>Feb</v>
      </c>
      <c r="C87">
        <v>65</v>
      </c>
      <c r="D87">
        <v>45</v>
      </c>
      <c r="E87" s="3">
        <v>409.1090316581305</v>
      </c>
      <c r="F87">
        <v>10</v>
      </c>
      <c r="G87" s="6">
        <v>3523.5173461942782</v>
      </c>
      <c r="H87" t="s">
        <v>10</v>
      </c>
      <c r="I87" t="s">
        <v>44</v>
      </c>
      <c r="J87" t="str">
        <f>Table134[[#This Row],[First Name]]&amp;" "&amp;Table134[[#This Row],[Last Name]]</f>
        <v>Alice Brown</v>
      </c>
      <c r="K87" t="s">
        <v>46</v>
      </c>
      <c r="L87" s="5">
        <f>Table134[[#This Row],[Calls Reached]]/Table134[[#This Row],[Total Calls]]</f>
        <v>0.69230769230769229</v>
      </c>
      <c r="M87" s="5">
        <f>Table134[[#This Row],[Deals Closed]]/Table134[[#This Row],[Calls Reached]]</f>
        <v>0.22222222222222221</v>
      </c>
      <c r="N87" s="6">
        <f>IFERROR(Table134[[#This Row],[Deal Value ($)]]/Table134[[#This Row],[Deals Closed]],0)</f>
        <v>352.35173461942782</v>
      </c>
      <c r="O87" s="6">
        <f>Table134[[#This Row],[Deal Value ($)]]/Table134[[#This Row],[Total Calls]]</f>
        <v>54.207959172219667</v>
      </c>
      <c r="P87" t="str">
        <f>IF(Table134[[#This Row],[Conversion Rate]]&gt;=20%,"High","Low")</f>
        <v>High</v>
      </c>
    </row>
    <row r="88" spans="1:16" x14ac:dyDescent="0.25">
      <c r="A88" s="2">
        <v>45342</v>
      </c>
      <c r="B88" s="2" t="str">
        <f>TEXT(Table134[[#This Row],[Date]],"MMM")</f>
        <v>Feb</v>
      </c>
      <c r="C88">
        <v>64</v>
      </c>
      <c r="D88">
        <v>47</v>
      </c>
      <c r="E88" s="3">
        <v>150.56133806139511</v>
      </c>
      <c r="F88">
        <v>3</v>
      </c>
      <c r="G88" s="6">
        <v>588.69741989463864</v>
      </c>
      <c r="H88" t="s">
        <v>18</v>
      </c>
      <c r="I88" t="s">
        <v>38</v>
      </c>
      <c r="J88" t="str">
        <f>Table134[[#This Row],[First Name]]&amp;" "&amp;Table134[[#This Row],[Last Name]]</f>
        <v>Chris Rodriguez</v>
      </c>
      <c r="K88" t="s">
        <v>45</v>
      </c>
      <c r="L88" s="5">
        <f>Table134[[#This Row],[Calls Reached]]/Table134[[#This Row],[Total Calls]]</f>
        <v>0.734375</v>
      </c>
      <c r="M88" s="5">
        <f>Table134[[#This Row],[Deals Closed]]/Table134[[#This Row],[Calls Reached]]</f>
        <v>6.3829787234042548E-2</v>
      </c>
      <c r="N88" s="6">
        <f>IFERROR(Table134[[#This Row],[Deal Value ($)]]/Table134[[#This Row],[Deals Closed]],0)</f>
        <v>196.23247329821288</v>
      </c>
      <c r="O88" s="6">
        <f>Table134[[#This Row],[Deal Value ($)]]/Table134[[#This Row],[Total Calls]]</f>
        <v>9.1983971858537288</v>
      </c>
      <c r="P88" t="str">
        <f>IF(Table134[[#This Row],[Conversion Rate]]&gt;=20%,"High","Low")</f>
        <v>Low</v>
      </c>
    </row>
    <row r="89" spans="1:16" x14ac:dyDescent="0.25">
      <c r="A89" s="2">
        <v>45343</v>
      </c>
      <c r="B89" s="2" t="str">
        <f>TEXT(Table134[[#This Row],[Date]],"MMM")</f>
        <v>Feb</v>
      </c>
      <c r="C89">
        <v>96</v>
      </c>
      <c r="D89">
        <v>34</v>
      </c>
      <c r="E89" s="3">
        <v>142.05340305749871</v>
      </c>
      <c r="F89">
        <v>14</v>
      </c>
      <c r="G89" s="6">
        <v>968.48861893058233</v>
      </c>
      <c r="H89" t="s">
        <v>18</v>
      </c>
      <c r="I89" t="s">
        <v>43</v>
      </c>
      <c r="J89" t="str">
        <f>Table134[[#This Row],[First Name]]&amp;" "&amp;Table134[[#This Row],[Last Name]]</f>
        <v>Chris Williams</v>
      </c>
      <c r="K89" t="s">
        <v>45</v>
      </c>
      <c r="L89" s="5">
        <f>Table134[[#This Row],[Calls Reached]]/Table134[[#This Row],[Total Calls]]</f>
        <v>0.35416666666666669</v>
      </c>
      <c r="M89" s="5">
        <f>Table134[[#This Row],[Deals Closed]]/Table134[[#This Row],[Calls Reached]]</f>
        <v>0.41176470588235292</v>
      </c>
      <c r="N89" s="6">
        <f>IFERROR(Table134[[#This Row],[Deal Value ($)]]/Table134[[#This Row],[Deals Closed]],0)</f>
        <v>69.177758495041601</v>
      </c>
      <c r="O89" s="6">
        <f>Table134[[#This Row],[Deal Value ($)]]/Table134[[#This Row],[Total Calls]]</f>
        <v>10.088423113860232</v>
      </c>
      <c r="P89" t="str">
        <f>IF(Table134[[#This Row],[Conversion Rate]]&gt;=20%,"High","Low")</f>
        <v>High</v>
      </c>
    </row>
    <row r="90" spans="1:16" x14ac:dyDescent="0.25">
      <c r="A90" s="2">
        <v>45344</v>
      </c>
      <c r="B90" s="2" t="str">
        <f>TEXT(Table134[[#This Row],[Date]],"MMM")</f>
        <v>Feb</v>
      </c>
      <c r="C90">
        <v>93</v>
      </c>
      <c r="D90">
        <v>27</v>
      </c>
      <c r="E90" s="3">
        <v>450.48456572956002</v>
      </c>
      <c r="F90">
        <v>5</v>
      </c>
      <c r="G90" s="6">
        <v>4099.6223841793526</v>
      </c>
      <c r="H90" t="s">
        <v>48</v>
      </c>
      <c r="I90" t="s">
        <v>35</v>
      </c>
      <c r="J90" t="str">
        <f>Table134[[#This Row],[First Name]]&amp;" "&amp;Table134[[#This Row],[Last Name]]</f>
        <v>Anna Garcia</v>
      </c>
      <c r="K90" t="s">
        <v>45</v>
      </c>
      <c r="L90" s="5">
        <f>Table134[[#This Row],[Calls Reached]]/Table134[[#This Row],[Total Calls]]</f>
        <v>0.29032258064516131</v>
      </c>
      <c r="M90" s="5">
        <f>Table134[[#This Row],[Deals Closed]]/Table134[[#This Row],[Calls Reached]]</f>
        <v>0.18518518518518517</v>
      </c>
      <c r="N90" s="6">
        <f>IFERROR(Table134[[#This Row],[Deal Value ($)]]/Table134[[#This Row],[Deals Closed]],0)</f>
        <v>819.92447683587056</v>
      </c>
      <c r="O90" s="6">
        <f>Table134[[#This Row],[Deal Value ($)]]/Table134[[#This Row],[Total Calls]]</f>
        <v>44.081961120208092</v>
      </c>
      <c r="P90" t="str">
        <f>IF(Table134[[#This Row],[Conversion Rate]]&gt;=20%,"High","Low")</f>
        <v>Low</v>
      </c>
    </row>
    <row r="91" spans="1:16" x14ac:dyDescent="0.25">
      <c r="A91" s="2">
        <v>45345</v>
      </c>
      <c r="B91" s="2" t="str">
        <f>TEXT(Table134[[#This Row],[Date]],"MMM")</f>
        <v>Feb</v>
      </c>
      <c r="C91">
        <v>52</v>
      </c>
      <c r="D91">
        <v>75</v>
      </c>
      <c r="E91" s="3">
        <v>136.38150318209679</v>
      </c>
      <c r="F91">
        <v>29</v>
      </c>
      <c r="G91" s="6">
        <v>1303.450979244501</v>
      </c>
      <c r="H91" t="s">
        <v>9</v>
      </c>
      <c r="I91" t="s">
        <v>40</v>
      </c>
      <c r="J91" t="str">
        <f>Table134[[#This Row],[First Name]]&amp;" "&amp;Table134[[#This Row],[Last Name]]</f>
        <v>Evan Davis</v>
      </c>
      <c r="K91" t="s">
        <v>46</v>
      </c>
      <c r="L91" s="5">
        <f>Table134[[#This Row],[Calls Reached]]/Table134[[#This Row],[Total Calls]]</f>
        <v>1.4423076923076923</v>
      </c>
      <c r="M91" s="5">
        <f>Table134[[#This Row],[Deals Closed]]/Table134[[#This Row],[Calls Reached]]</f>
        <v>0.38666666666666666</v>
      </c>
      <c r="N91" s="6">
        <f>IFERROR(Table134[[#This Row],[Deal Value ($)]]/Table134[[#This Row],[Deals Closed]],0)</f>
        <v>44.946585491189687</v>
      </c>
      <c r="O91" s="6">
        <f>Table134[[#This Row],[Deal Value ($)]]/Table134[[#This Row],[Total Calls]]</f>
        <v>25.066364985471175</v>
      </c>
      <c r="P91" t="str">
        <f>IF(Table134[[#This Row],[Conversion Rate]]&gt;=20%,"High","Low")</f>
        <v>High</v>
      </c>
    </row>
    <row r="92" spans="1:16" x14ac:dyDescent="0.25">
      <c r="A92" s="2">
        <v>45348</v>
      </c>
      <c r="B92" s="2" t="str">
        <f>TEXT(Table134[[#This Row],[Date]],"MMM")</f>
        <v>Feb</v>
      </c>
      <c r="C92">
        <v>86</v>
      </c>
      <c r="D92">
        <v>63</v>
      </c>
      <c r="E92" s="3">
        <v>510.93002964517808</v>
      </c>
      <c r="F92">
        <v>37</v>
      </c>
      <c r="G92" s="6">
        <v>3437.3574853334362</v>
      </c>
      <c r="H92" t="s">
        <v>47</v>
      </c>
      <c r="I92" t="s">
        <v>44</v>
      </c>
      <c r="J92" t="str">
        <f>Table134[[#This Row],[First Name]]&amp;" "&amp;Table134[[#This Row],[Last Name]]</f>
        <v>John Brown</v>
      </c>
      <c r="K92" t="s">
        <v>45</v>
      </c>
      <c r="L92" s="5">
        <f>Table134[[#This Row],[Calls Reached]]/Table134[[#This Row],[Total Calls]]</f>
        <v>0.73255813953488369</v>
      </c>
      <c r="M92" s="5">
        <f>Table134[[#This Row],[Deals Closed]]/Table134[[#This Row],[Calls Reached]]</f>
        <v>0.58730158730158732</v>
      </c>
      <c r="N92" s="6">
        <f>IFERROR(Table134[[#This Row],[Deal Value ($)]]/Table134[[#This Row],[Deals Closed]],0)</f>
        <v>92.901553657660443</v>
      </c>
      <c r="O92" s="6">
        <f>Table134[[#This Row],[Deal Value ($)]]/Table134[[#This Row],[Total Calls]]</f>
        <v>39.969273085272512</v>
      </c>
      <c r="P92" t="str">
        <f>IF(Table134[[#This Row],[Conversion Rate]]&gt;=20%,"High","Low")</f>
        <v>High</v>
      </c>
    </row>
    <row r="93" spans="1:16" x14ac:dyDescent="0.25">
      <c r="A93" s="2">
        <v>45349</v>
      </c>
      <c r="B93" s="2" t="str">
        <f>TEXT(Table134[[#This Row],[Date]],"MMM")</f>
        <v>Feb</v>
      </c>
      <c r="C93">
        <v>56</v>
      </c>
      <c r="D93">
        <v>44</v>
      </c>
      <c r="E93" s="3">
        <v>453.12111357824813</v>
      </c>
      <c r="F93">
        <v>1</v>
      </c>
      <c r="G93" s="6">
        <v>1571.8225147102689</v>
      </c>
      <c r="H93" t="s">
        <v>18</v>
      </c>
      <c r="I93" t="s">
        <v>35</v>
      </c>
      <c r="J93" t="str">
        <f>Table134[[#This Row],[First Name]]&amp;" "&amp;Table134[[#This Row],[Last Name]]</f>
        <v>Chris Garcia</v>
      </c>
      <c r="K93" t="s">
        <v>45</v>
      </c>
      <c r="L93" s="5">
        <f>Table134[[#This Row],[Calls Reached]]/Table134[[#This Row],[Total Calls]]</f>
        <v>0.7857142857142857</v>
      </c>
      <c r="M93" s="5">
        <f>Table134[[#This Row],[Deals Closed]]/Table134[[#This Row],[Calls Reached]]</f>
        <v>2.2727272727272728E-2</v>
      </c>
      <c r="N93" s="6">
        <f>IFERROR(Table134[[#This Row],[Deal Value ($)]]/Table134[[#This Row],[Deals Closed]],0)</f>
        <v>1571.8225147102689</v>
      </c>
      <c r="O93" s="6">
        <f>Table134[[#This Row],[Deal Value ($)]]/Table134[[#This Row],[Total Calls]]</f>
        <v>28.068259191254803</v>
      </c>
      <c r="P93" t="str">
        <f>IF(Table134[[#This Row],[Conversion Rate]]&gt;=20%,"High","Low")</f>
        <v>Low</v>
      </c>
    </row>
    <row r="94" spans="1:16" x14ac:dyDescent="0.25">
      <c r="A94" s="2">
        <v>45350</v>
      </c>
      <c r="B94" s="2" t="str">
        <f>TEXT(Table134[[#This Row],[Date]],"MMM")</f>
        <v>Feb</v>
      </c>
      <c r="C94">
        <v>70</v>
      </c>
      <c r="D94">
        <v>70</v>
      </c>
      <c r="E94" s="3">
        <v>140.6743903209499</v>
      </c>
      <c r="F94">
        <v>14</v>
      </c>
      <c r="G94" s="6">
        <v>947.48626741705323</v>
      </c>
      <c r="H94" t="s">
        <v>47</v>
      </c>
      <c r="I94" t="s">
        <v>40</v>
      </c>
      <c r="J94" t="str">
        <f>Table134[[#This Row],[First Name]]&amp;" "&amp;Table134[[#This Row],[Last Name]]</f>
        <v>John Davis</v>
      </c>
      <c r="K94" t="s">
        <v>46</v>
      </c>
      <c r="L94" s="5">
        <f>Table134[[#This Row],[Calls Reached]]/Table134[[#This Row],[Total Calls]]</f>
        <v>1</v>
      </c>
      <c r="M94" s="5">
        <f>Table134[[#This Row],[Deals Closed]]/Table134[[#This Row],[Calls Reached]]</f>
        <v>0.2</v>
      </c>
      <c r="N94" s="6">
        <f>IFERROR(Table134[[#This Row],[Deal Value ($)]]/Table134[[#This Row],[Deals Closed]],0)</f>
        <v>67.677590529789512</v>
      </c>
      <c r="O94" s="6">
        <f>Table134[[#This Row],[Deal Value ($)]]/Table134[[#This Row],[Total Calls]]</f>
        <v>13.535518105957904</v>
      </c>
      <c r="P94" t="str">
        <f>IF(Table134[[#This Row],[Conversion Rate]]&gt;=20%,"High","Low")</f>
        <v>High</v>
      </c>
    </row>
    <row r="95" spans="1:16" x14ac:dyDescent="0.25">
      <c r="A95" s="2">
        <v>45351</v>
      </c>
      <c r="B95" s="2" t="str">
        <f>TEXT(Table134[[#This Row],[Date]],"MMM")</f>
        <v>Feb</v>
      </c>
      <c r="C95">
        <v>58</v>
      </c>
      <c r="D95">
        <v>50</v>
      </c>
      <c r="E95" s="3">
        <v>142.41885704259599</v>
      </c>
      <c r="F95">
        <v>10</v>
      </c>
      <c r="G95" s="6">
        <v>1594.274859497543</v>
      </c>
      <c r="H95" t="s">
        <v>49</v>
      </c>
      <c r="I95" t="s">
        <v>44</v>
      </c>
      <c r="J95" t="str">
        <f>Table134[[#This Row],[First Name]]&amp;" "&amp;Table134[[#This Row],[Last Name]]</f>
        <v>Jane Brown</v>
      </c>
      <c r="K95" t="s">
        <v>46</v>
      </c>
      <c r="L95" s="5">
        <f>Table134[[#This Row],[Calls Reached]]/Table134[[#This Row],[Total Calls]]</f>
        <v>0.86206896551724133</v>
      </c>
      <c r="M95" s="5">
        <f>Table134[[#This Row],[Deals Closed]]/Table134[[#This Row],[Calls Reached]]</f>
        <v>0.2</v>
      </c>
      <c r="N95" s="6">
        <f>IFERROR(Table134[[#This Row],[Deal Value ($)]]/Table134[[#This Row],[Deals Closed]],0)</f>
        <v>159.4274859497543</v>
      </c>
      <c r="O95" s="6">
        <f>Table134[[#This Row],[Deal Value ($)]]/Table134[[#This Row],[Total Calls]]</f>
        <v>27.487497577543845</v>
      </c>
      <c r="P95" t="str">
        <f>IF(Table134[[#This Row],[Conversion Rate]]&gt;=20%,"High","Low")</f>
        <v>High</v>
      </c>
    </row>
    <row r="96" spans="1:16" x14ac:dyDescent="0.25">
      <c r="A96" s="2">
        <v>45352</v>
      </c>
      <c r="B96" s="2" t="str">
        <f>TEXT(Table134[[#This Row],[Date]],"MMM")</f>
        <v>Mar</v>
      </c>
      <c r="C96">
        <v>31</v>
      </c>
      <c r="D96">
        <v>9</v>
      </c>
      <c r="E96" s="3">
        <v>209.18</v>
      </c>
      <c r="F96">
        <v>2</v>
      </c>
      <c r="G96" s="6">
        <v>4153.3100000000004</v>
      </c>
      <c r="H96" t="s">
        <v>22</v>
      </c>
      <c r="I96" t="s">
        <v>37</v>
      </c>
      <c r="J96" t="str">
        <f>Table134[[#This Row],[First Name]]&amp;" "&amp;Table134[[#This Row],[Last Name]]</f>
        <v>Ian Johnson</v>
      </c>
      <c r="K96" t="s">
        <v>45</v>
      </c>
      <c r="L96" s="5">
        <f>Table134[[#This Row],[Calls Reached]]/Table134[[#This Row],[Total Calls]]</f>
        <v>0.29032258064516131</v>
      </c>
      <c r="M96" s="5">
        <f>Table134[[#This Row],[Deals Closed]]/Table134[[#This Row],[Calls Reached]]</f>
        <v>0.22222222222222221</v>
      </c>
      <c r="N96" s="6">
        <f>IFERROR(Table134[[#This Row],[Deal Value ($)]]/Table134[[#This Row],[Deals Closed]],0)</f>
        <v>2076.6550000000002</v>
      </c>
      <c r="O96" s="6">
        <f>Table134[[#This Row],[Deal Value ($)]]/Table134[[#This Row],[Total Calls]]</f>
        <v>133.97774193548389</v>
      </c>
      <c r="P96" t="str">
        <f>IF(Table134[[#This Row],[Conversion Rate]]&gt;=20%,"High","Low")</f>
        <v>High</v>
      </c>
    </row>
    <row r="97" spans="1:16" x14ac:dyDescent="0.25">
      <c r="A97" s="2">
        <v>45352</v>
      </c>
      <c r="B97" s="2" t="str">
        <f>TEXT(Table134[[#This Row],[Date]],"MMM")</f>
        <v>Mar</v>
      </c>
      <c r="C97">
        <v>21</v>
      </c>
      <c r="D97">
        <v>14</v>
      </c>
      <c r="E97" s="3">
        <v>498.82</v>
      </c>
      <c r="F97">
        <v>5</v>
      </c>
      <c r="G97" s="6">
        <v>4039.26</v>
      </c>
      <c r="H97" t="s">
        <v>26</v>
      </c>
      <c r="I97" t="s">
        <v>38</v>
      </c>
      <c r="J97" t="str">
        <f>Table134[[#This Row],[First Name]]&amp;" "&amp;Table134[[#This Row],[Last Name]]</f>
        <v>Darren Rodriguez</v>
      </c>
      <c r="K97" t="s">
        <v>46</v>
      </c>
      <c r="L97" s="5">
        <f>Table134[[#This Row],[Calls Reached]]/Table134[[#This Row],[Total Calls]]</f>
        <v>0.66666666666666663</v>
      </c>
      <c r="M97" s="5">
        <f>Table134[[#This Row],[Deals Closed]]/Table134[[#This Row],[Calls Reached]]</f>
        <v>0.35714285714285715</v>
      </c>
      <c r="N97" s="6">
        <f>IFERROR(Table134[[#This Row],[Deal Value ($)]]/Table134[[#This Row],[Deals Closed]],0)</f>
        <v>807.85200000000009</v>
      </c>
      <c r="O97" s="6">
        <f>Table134[[#This Row],[Deal Value ($)]]/Table134[[#This Row],[Total Calls]]</f>
        <v>192.34571428571431</v>
      </c>
      <c r="P97" t="str">
        <f>IF(Table134[[#This Row],[Conversion Rate]]&gt;=20%,"High","Low")</f>
        <v>High</v>
      </c>
    </row>
    <row r="98" spans="1:16" x14ac:dyDescent="0.25">
      <c r="A98" s="2">
        <v>45352</v>
      </c>
      <c r="B98" s="2" t="str">
        <f>TEXT(Table134[[#This Row],[Date]],"MMM")</f>
        <v>Mar</v>
      </c>
      <c r="C98">
        <v>16</v>
      </c>
      <c r="D98">
        <v>9</v>
      </c>
      <c r="E98" s="3">
        <v>199.87</v>
      </c>
      <c r="F98">
        <v>9</v>
      </c>
      <c r="G98" s="6">
        <v>818.64</v>
      </c>
      <c r="H98" t="s">
        <v>19</v>
      </c>
      <c r="I98" t="s">
        <v>38</v>
      </c>
      <c r="J98" t="str">
        <f>Table134[[#This Row],[First Name]]&amp;" "&amp;Table134[[#This Row],[Last Name]]</f>
        <v>James Rodriguez</v>
      </c>
      <c r="K98" t="s">
        <v>45</v>
      </c>
      <c r="L98" s="5">
        <f>Table134[[#This Row],[Calls Reached]]/Table134[[#This Row],[Total Calls]]</f>
        <v>0.5625</v>
      </c>
      <c r="M98" s="5">
        <f>Table134[[#This Row],[Deals Closed]]/Table134[[#This Row],[Calls Reached]]</f>
        <v>1</v>
      </c>
      <c r="N98" s="6">
        <f>IFERROR(Table134[[#This Row],[Deal Value ($)]]/Table134[[#This Row],[Deals Closed]],0)</f>
        <v>90.96</v>
      </c>
      <c r="O98" s="6">
        <f>Table134[[#This Row],[Deal Value ($)]]/Table134[[#This Row],[Total Calls]]</f>
        <v>51.164999999999999</v>
      </c>
      <c r="P98" t="str">
        <f>IF(Table134[[#This Row],[Conversion Rate]]&gt;=20%,"High","Low")</f>
        <v>High</v>
      </c>
    </row>
    <row r="99" spans="1:16" x14ac:dyDescent="0.25">
      <c r="A99" s="2">
        <v>45352</v>
      </c>
      <c r="B99" s="2" t="str">
        <f>TEXT(Table134[[#This Row],[Date]],"MMM")</f>
        <v>Mar</v>
      </c>
      <c r="C99">
        <v>30</v>
      </c>
      <c r="D99">
        <v>5</v>
      </c>
      <c r="E99" s="3">
        <v>565.19000000000005</v>
      </c>
      <c r="F99">
        <v>4</v>
      </c>
      <c r="G99" s="6">
        <v>3621.51</v>
      </c>
      <c r="H99" t="s">
        <v>20</v>
      </c>
      <c r="I99" t="s">
        <v>43</v>
      </c>
      <c r="J99" t="str">
        <f>Table134[[#This Row],[First Name]]&amp;" "&amp;Table134[[#This Row],[Last Name]]</f>
        <v>Richard Williams</v>
      </c>
      <c r="K99" t="s">
        <v>45</v>
      </c>
      <c r="L99" s="5">
        <f>Table134[[#This Row],[Calls Reached]]/Table134[[#This Row],[Total Calls]]</f>
        <v>0.16666666666666666</v>
      </c>
      <c r="M99" s="5">
        <f>Table134[[#This Row],[Deals Closed]]/Table134[[#This Row],[Calls Reached]]</f>
        <v>0.8</v>
      </c>
      <c r="N99" s="6">
        <f>IFERROR(Table134[[#This Row],[Deal Value ($)]]/Table134[[#This Row],[Deals Closed]],0)</f>
        <v>905.37750000000005</v>
      </c>
      <c r="O99" s="6">
        <f>Table134[[#This Row],[Deal Value ($)]]/Table134[[#This Row],[Total Calls]]</f>
        <v>120.71700000000001</v>
      </c>
      <c r="P99" t="str">
        <f>IF(Table134[[#This Row],[Conversion Rate]]&gt;=20%,"High","Low")</f>
        <v>High</v>
      </c>
    </row>
    <row r="100" spans="1:16" x14ac:dyDescent="0.25">
      <c r="A100" s="2">
        <v>45352</v>
      </c>
      <c r="B100" s="2" t="str">
        <f>TEXT(Table134[[#This Row],[Date]],"MMM")</f>
        <v>Mar</v>
      </c>
      <c r="C100">
        <v>68</v>
      </c>
      <c r="D100">
        <v>19</v>
      </c>
      <c r="E100" s="3">
        <v>623.25</v>
      </c>
      <c r="F100">
        <v>3</v>
      </c>
      <c r="G100" s="6">
        <v>355.96</v>
      </c>
      <c r="H100" t="s">
        <v>21</v>
      </c>
      <c r="I100" t="s">
        <v>40</v>
      </c>
      <c r="J100" t="str">
        <f>Table134[[#This Row],[First Name]]&amp;" "&amp;Table134[[#This Row],[Last Name]]</f>
        <v>Paul Davis</v>
      </c>
      <c r="K100" t="s">
        <v>46</v>
      </c>
      <c r="L100" s="5">
        <f>Table134[[#This Row],[Calls Reached]]/Table134[[#This Row],[Total Calls]]</f>
        <v>0.27941176470588236</v>
      </c>
      <c r="M100" s="5">
        <f>Table134[[#This Row],[Deals Closed]]/Table134[[#This Row],[Calls Reached]]</f>
        <v>0.15789473684210525</v>
      </c>
      <c r="N100" s="6">
        <f>IFERROR(Table134[[#This Row],[Deal Value ($)]]/Table134[[#This Row],[Deals Closed]],0)</f>
        <v>118.65333333333332</v>
      </c>
      <c r="O100" s="6">
        <f>Table134[[#This Row],[Deal Value ($)]]/Table134[[#This Row],[Total Calls]]</f>
        <v>5.2347058823529409</v>
      </c>
      <c r="P100" t="str">
        <f>IF(Table134[[#This Row],[Conversion Rate]]&gt;=20%,"High","Low")</f>
        <v>Low</v>
      </c>
    </row>
    <row r="101" spans="1:16" x14ac:dyDescent="0.25">
      <c r="A101" s="2">
        <v>45352</v>
      </c>
      <c r="B101" s="2" t="str">
        <f>TEXT(Table134[[#This Row],[Date]],"MMM")</f>
        <v>Mar</v>
      </c>
      <c r="C101">
        <v>61</v>
      </c>
      <c r="D101">
        <v>7</v>
      </c>
      <c r="E101" s="3">
        <v>190.5</v>
      </c>
      <c r="F101">
        <v>3</v>
      </c>
      <c r="G101" s="6">
        <v>661.2</v>
      </c>
      <c r="H101" t="s">
        <v>23</v>
      </c>
      <c r="I101" t="s">
        <v>43</v>
      </c>
      <c r="J101" t="str">
        <f>Table134[[#This Row],[First Name]]&amp;" "&amp;Table134[[#This Row],[Last Name]]</f>
        <v>Melissa Williams</v>
      </c>
      <c r="K101" t="s">
        <v>46</v>
      </c>
      <c r="L101" s="5">
        <f>Table134[[#This Row],[Calls Reached]]/Table134[[#This Row],[Total Calls]]</f>
        <v>0.11475409836065574</v>
      </c>
      <c r="M101" s="5">
        <f>Table134[[#This Row],[Deals Closed]]/Table134[[#This Row],[Calls Reached]]</f>
        <v>0.42857142857142855</v>
      </c>
      <c r="N101" s="6">
        <f>IFERROR(Table134[[#This Row],[Deal Value ($)]]/Table134[[#This Row],[Deals Closed]],0)</f>
        <v>220.4</v>
      </c>
      <c r="O101" s="6">
        <f>Table134[[#This Row],[Deal Value ($)]]/Table134[[#This Row],[Total Calls]]</f>
        <v>10.839344262295082</v>
      </c>
      <c r="P101" t="str">
        <f>IF(Table134[[#This Row],[Conversion Rate]]&gt;=20%,"High","Low")</f>
        <v>High</v>
      </c>
    </row>
    <row r="102" spans="1:16" x14ac:dyDescent="0.25">
      <c r="A102" s="2">
        <v>45352</v>
      </c>
      <c r="B102" s="2" t="str">
        <f>TEXT(Table134[[#This Row],[Date]],"MMM")</f>
        <v>Mar</v>
      </c>
      <c r="C102">
        <v>83</v>
      </c>
      <c r="D102">
        <v>5</v>
      </c>
      <c r="E102" s="3">
        <v>170.12</v>
      </c>
      <c r="F102">
        <v>3</v>
      </c>
      <c r="G102" s="6">
        <v>1171.95</v>
      </c>
      <c r="H102" t="s">
        <v>24</v>
      </c>
      <c r="I102" t="s">
        <v>41</v>
      </c>
      <c r="J102" t="str">
        <f>Table134[[#This Row],[First Name]]&amp;" "&amp;Table134[[#This Row],[Last Name]]</f>
        <v>Alex Miller</v>
      </c>
      <c r="K102" t="s">
        <v>45</v>
      </c>
      <c r="L102" s="5">
        <f>Table134[[#This Row],[Calls Reached]]/Table134[[#This Row],[Total Calls]]</f>
        <v>6.0240963855421686E-2</v>
      </c>
      <c r="M102" s="5">
        <f>Table134[[#This Row],[Deals Closed]]/Table134[[#This Row],[Calls Reached]]</f>
        <v>0.6</v>
      </c>
      <c r="N102" s="6">
        <f>IFERROR(Table134[[#This Row],[Deal Value ($)]]/Table134[[#This Row],[Deals Closed]],0)</f>
        <v>390.65000000000003</v>
      </c>
      <c r="O102" s="6">
        <f>Table134[[#This Row],[Deal Value ($)]]/Table134[[#This Row],[Total Calls]]</f>
        <v>14.11987951807229</v>
      </c>
      <c r="P102" t="str">
        <f>IF(Table134[[#This Row],[Conversion Rate]]&gt;=20%,"High","Low")</f>
        <v>High</v>
      </c>
    </row>
    <row r="103" spans="1:16" x14ac:dyDescent="0.25">
      <c r="A103" s="2">
        <v>45352</v>
      </c>
      <c r="B103" s="2" t="str">
        <f>TEXT(Table134[[#This Row],[Date]],"MMM")</f>
        <v>Mar</v>
      </c>
      <c r="C103">
        <v>74</v>
      </c>
      <c r="D103">
        <v>7</v>
      </c>
      <c r="E103" s="3">
        <v>87.89</v>
      </c>
      <c r="F103">
        <v>7</v>
      </c>
      <c r="G103" s="6">
        <v>3848.14</v>
      </c>
      <c r="H103" t="s">
        <v>25</v>
      </c>
      <c r="I103" t="s">
        <v>37</v>
      </c>
      <c r="J103" t="str">
        <f>Table134[[#This Row],[First Name]]&amp;" "&amp;Table134[[#This Row],[Last Name]]</f>
        <v>Karol Johnson</v>
      </c>
      <c r="K103" t="s">
        <v>45</v>
      </c>
      <c r="L103" s="5">
        <f>Table134[[#This Row],[Calls Reached]]/Table134[[#This Row],[Total Calls]]</f>
        <v>9.45945945945946E-2</v>
      </c>
      <c r="M103" s="5">
        <f>Table134[[#This Row],[Deals Closed]]/Table134[[#This Row],[Calls Reached]]</f>
        <v>1</v>
      </c>
      <c r="N103" s="6">
        <f>IFERROR(Table134[[#This Row],[Deal Value ($)]]/Table134[[#This Row],[Deals Closed]],0)</f>
        <v>549.73428571428565</v>
      </c>
      <c r="O103" s="6">
        <f>Table134[[#This Row],[Deal Value ($)]]/Table134[[#This Row],[Total Calls]]</f>
        <v>52.001891891891887</v>
      </c>
      <c r="P103" t="str">
        <f>IF(Table134[[#This Row],[Conversion Rate]]&gt;=20%,"High","Low")</f>
        <v>High</v>
      </c>
    </row>
    <row r="104" spans="1:16" x14ac:dyDescent="0.25">
      <c r="A104" s="2">
        <v>45352</v>
      </c>
      <c r="B104" s="2" t="str">
        <f>TEXT(Table134[[#This Row],[Date]],"MMM")</f>
        <v>Mar</v>
      </c>
      <c r="C104">
        <v>84</v>
      </c>
      <c r="D104">
        <v>15</v>
      </c>
      <c r="E104" s="3">
        <v>163.21</v>
      </c>
      <c r="F104">
        <v>5</v>
      </c>
      <c r="G104" s="6">
        <v>411.36</v>
      </c>
      <c r="H104" t="s">
        <v>27</v>
      </c>
      <c r="I104" t="s">
        <v>43</v>
      </c>
      <c r="J104" t="str">
        <f>Table134[[#This Row],[First Name]]&amp;" "&amp;Table134[[#This Row],[Last Name]]</f>
        <v>Will Williams</v>
      </c>
      <c r="K104" t="s">
        <v>45</v>
      </c>
      <c r="L104" s="5">
        <f>Table134[[#This Row],[Calls Reached]]/Table134[[#This Row],[Total Calls]]</f>
        <v>0.17857142857142858</v>
      </c>
      <c r="M104" s="5">
        <f>Table134[[#This Row],[Deals Closed]]/Table134[[#This Row],[Calls Reached]]</f>
        <v>0.33333333333333331</v>
      </c>
      <c r="N104" s="6">
        <f>IFERROR(Table134[[#This Row],[Deal Value ($)]]/Table134[[#This Row],[Deals Closed]],0)</f>
        <v>82.272000000000006</v>
      </c>
      <c r="O104" s="6">
        <f>Table134[[#This Row],[Deal Value ($)]]/Table134[[#This Row],[Total Calls]]</f>
        <v>4.8971428571428577</v>
      </c>
      <c r="P104" t="str">
        <f>IF(Table134[[#This Row],[Conversion Rate]]&gt;=20%,"High","Low")</f>
        <v>High</v>
      </c>
    </row>
    <row r="105" spans="1:16" x14ac:dyDescent="0.25">
      <c r="A105" s="2">
        <v>45352</v>
      </c>
      <c r="B105" s="2" t="str">
        <f>TEXT(Table134[[#This Row],[Date]],"MMM")</f>
        <v>Mar</v>
      </c>
      <c r="C105">
        <v>64</v>
      </c>
      <c r="D105">
        <v>13</v>
      </c>
      <c r="E105" s="3">
        <v>496.4</v>
      </c>
      <c r="F105">
        <v>0</v>
      </c>
      <c r="G105" s="6">
        <v>1306.3800000000001</v>
      </c>
      <c r="H105" t="s">
        <v>28</v>
      </c>
      <c r="I105" t="s">
        <v>38</v>
      </c>
      <c r="J105" t="str">
        <f>Table134[[#This Row],[First Name]]&amp;" "&amp;Table134[[#This Row],[Last Name]]</f>
        <v>Vicky Rodriguez</v>
      </c>
      <c r="K105" t="s">
        <v>45</v>
      </c>
      <c r="L105" s="5">
        <f>Table134[[#This Row],[Calls Reached]]/Table134[[#This Row],[Total Calls]]</f>
        <v>0.203125</v>
      </c>
      <c r="M105" s="5">
        <f>Table134[[#This Row],[Deals Closed]]/Table134[[#This Row],[Calls Reached]]</f>
        <v>0</v>
      </c>
      <c r="N105" s="6">
        <f>IFERROR(Table134[[#This Row],[Deal Value ($)]]/Table134[[#This Row],[Deals Closed]],0)</f>
        <v>0</v>
      </c>
      <c r="O105" s="6">
        <f>Table134[[#This Row],[Deal Value ($)]]/Table134[[#This Row],[Total Calls]]</f>
        <v>20.412187500000002</v>
      </c>
      <c r="P105" t="str">
        <f>IF(Table134[[#This Row],[Conversion Rate]]&gt;=20%,"High","Low")</f>
        <v>Low</v>
      </c>
    </row>
    <row r="106" spans="1:16" x14ac:dyDescent="0.25">
      <c r="A106" s="2">
        <v>45352</v>
      </c>
      <c r="B106" s="2" t="str">
        <f>TEXT(Table134[[#This Row],[Date]],"MMM")</f>
        <v>Mar</v>
      </c>
      <c r="C106">
        <v>21</v>
      </c>
      <c r="D106">
        <v>13</v>
      </c>
      <c r="E106" s="3">
        <v>315.41000000000003</v>
      </c>
      <c r="F106">
        <v>1</v>
      </c>
      <c r="G106" s="6">
        <v>1692.59</v>
      </c>
      <c r="H106" t="s">
        <v>29</v>
      </c>
      <c r="I106" t="s">
        <v>38</v>
      </c>
      <c r="J106" t="str">
        <f>Table134[[#This Row],[First Name]]&amp;" "&amp;Table134[[#This Row],[Last Name]]</f>
        <v>Grace Rodriguez</v>
      </c>
      <c r="K106" t="s">
        <v>46</v>
      </c>
      <c r="L106" s="5">
        <f>Table134[[#This Row],[Calls Reached]]/Table134[[#This Row],[Total Calls]]</f>
        <v>0.61904761904761907</v>
      </c>
      <c r="M106" s="5">
        <f>Table134[[#This Row],[Deals Closed]]/Table134[[#This Row],[Calls Reached]]</f>
        <v>7.6923076923076927E-2</v>
      </c>
      <c r="N106" s="6">
        <f>IFERROR(Table134[[#This Row],[Deal Value ($)]]/Table134[[#This Row],[Deals Closed]],0)</f>
        <v>1692.59</v>
      </c>
      <c r="O106" s="6">
        <f>Table134[[#This Row],[Deal Value ($)]]/Table134[[#This Row],[Total Calls]]</f>
        <v>80.599523809523802</v>
      </c>
      <c r="P106" t="str">
        <f>IF(Table134[[#This Row],[Conversion Rate]]&gt;=20%,"High","Low")</f>
        <v>Low</v>
      </c>
    </row>
    <row r="107" spans="1:16" x14ac:dyDescent="0.25">
      <c r="A107" s="2">
        <v>45352</v>
      </c>
      <c r="B107" s="2" t="str">
        <f>TEXT(Table134[[#This Row],[Date]],"MMM")</f>
        <v>Mar</v>
      </c>
      <c r="C107">
        <v>110</v>
      </c>
      <c r="D107">
        <v>6</v>
      </c>
      <c r="E107" s="3">
        <v>535.37</v>
      </c>
      <c r="F107">
        <v>2</v>
      </c>
      <c r="G107" s="6">
        <v>3113.29</v>
      </c>
      <c r="H107" t="s">
        <v>30</v>
      </c>
      <c r="I107" t="s">
        <v>36</v>
      </c>
      <c r="J107" t="str">
        <f>Table134[[#This Row],[First Name]]&amp;" "&amp;Table134[[#This Row],[Last Name]]</f>
        <v>Emma Smith</v>
      </c>
      <c r="K107" t="s">
        <v>45</v>
      </c>
      <c r="L107" s="5">
        <f>Table134[[#This Row],[Calls Reached]]/Table134[[#This Row],[Total Calls]]</f>
        <v>5.4545454545454543E-2</v>
      </c>
      <c r="M107" s="5">
        <f>Table134[[#This Row],[Deals Closed]]/Table134[[#This Row],[Calls Reached]]</f>
        <v>0.33333333333333331</v>
      </c>
      <c r="N107" s="6">
        <f>IFERROR(Table134[[#This Row],[Deal Value ($)]]/Table134[[#This Row],[Deals Closed]],0)</f>
        <v>1556.645</v>
      </c>
      <c r="O107" s="6">
        <f>Table134[[#This Row],[Deal Value ($)]]/Table134[[#This Row],[Total Calls]]</f>
        <v>28.302636363636363</v>
      </c>
      <c r="P107" t="str">
        <f>IF(Table134[[#This Row],[Conversion Rate]]&gt;=20%,"High","Low")</f>
        <v>High</v>
      </c>
    </row>
    <row r="108" spans="1:16" x14ac:dyDescent="0.25">
      <c r="A108" s="2">
        <v>45352</v>
      </c>
      <c r="B108" s="2" t="str">
        <f>TEXT(Table134[[#This Row],[Date]],"MMM")</f>
        <v>Mar</v>
      </c>
      <c r="C108">
        <v>54</v>
      </c>
      <c r="D108">
        <v>15</v>
      </c>
      <c r="E108" s="3">
        <v>321.99</v>
      </c>
      <c r="F108">
        <v>8</v>
      </c>
      <c r="G108" s="6">
        <v>1080.0899999999999</v>
      </c>
      <c r="H108" t="s">
        <v>18</v>
      </c>
      <c r="I108" t="s">
        <v>44</v>
      </c>
      <c r="J108" t="str">
        <f>Table134[[#This Row],[First Name]]&amp;" "&amp;Table134[[#This Row],[Last Name]]</f>
        <v>Chris Brown</v>
      </c>
      <c r="K108" t="s">
        <v>46</v>
      </c>
      <c r="L108" s="5">
        <f>Table134[[#This Row],[Calls Reached]]/Table134[[#This Row],[Total Calls]]</f>
        <v>0.27777777777777779</v>
      </c>
      <c r="M108" s="5">
        <f>Table134[[#This Row],[Deals Closed]]/Table134[[#This Row],[Calls Reached]]</f>
        <v>0.53333333333333333</v>
      </c>
      <c r="N108" s="6">
        <f>IFERROR(Table134[[#This Row],[Deal Value ($)]]/Table134[[#This Row],[Deals Closed]],0)</f>
        <v>135.01124999999999</v>
      </c>
      <c r="O108" s="6">
        <f>Table134[[#This Row],[Deal Value ($)]]/Table134[[#This Row],[Total Calls]]</f>
        <v>20.001666666666665</v>
      </c>
      <c r="P108" t="str">
        <f>IF(Table134[[#This Row],[Conversion Rate]]&gt;=20%,"High","Low")</f>
        <v>High</v>
      </c>
    </row>
    <row r="109" spans="1:16" x14ac:dyDescent="0.25">
      <c r="A109" s="2">
        <v>45352</v>
      </c>
      <c r="B109" s="2" t="str">
        <f>TEXT(Table134[[#This Row],[Date]],"MMM")</f>
        <v>Mar</v>
      </c>
      <c r="C109">
        <v>62</v>
      </c>
      <c r="D109">
        <v>8</v>
      </c>
      <c r="E109" s="3">
        <v>198.84</v>
      </c>
      <c r="F109">
        <v>8</v>
      </c>
      <c r="G109" s="6">
        <v>534.58000000000004</v>
      </c>
      <c r="H109" t="s">
        <v>31</v>
      </c>
      <c r="I109" t="s">
        <v>35</v>
      </c>
      <c r="J109" t="str">
        <f>Table134[[#This Row],[First Name]]&amp;" "&amp;Table134[[#This Row],[Last Name]]</f>
        <v>Josh Garcia</v>
      </c>
      <c r="K109" t="s">
        <v>45</v>
      </c>
      <c r="L109" s="5">
        <f>Table134[[#This Row],[Calls Reached]]/Table134[[#This Row],[Total Calls]]</f>
        <v>0.12903225806451613</v>
      </c>
      <c r="M109" s="5">
        <f>Table134[[#This Row],[Deals Closed]]/Table134[[#This Row],[Calls Reached]]</f>
        <v>1</v>
      </c>
      <c r="N109" s="6">
        <f>IFERROR(Table134[[#This Row],[Deal Value ($)]]/Table134[[#This Row],[Deals Closed]],0)</f>
        <v>66.822500000000005</v>
      </c>
      <c r="O109" s="6">
        <f>Table134[[#This Row],[Deal Value ($)]]/Table134[[#This Row],[Total Calls]]</f>
        <v>8.6222580645161297</v>
      </c>
      <c r="P109" t="str">
        <f>IF(Table134[[#This Row],[Conversion Rate]]&gt;=20%,"High","Low")</f>
        <v>High</v>
      </c>
    </row>
    <row r="110" spans="1:16" x14ac:dyDescent="0.25">
      <c r="A110" s="2">
        <v>45352</v>
      </c>
      <c r="B110" s="2" t="str">
        <f>TEXT(Table134[[#This Row],[Date]],"MMM")</f>
        <v>Mar</v>
      </c>
      <c r="C110">
        <v>28</v>
      </c>
      <c r="D110">
        <v>12</v>
      </c>
      <c r="E110" s="3">
        <v>533.85</v>
      </c>
      <c r="F110">
        <v>5</v>
      </c>
      <c r="G110" s="6">
        <v>224.87</v>
      </c>
      <c r="H110" t="s">
        <v>33</v>
      </c>
      <c r="I110" t="s">
        <v>43</v>
      </c>
      <c r="J110" t="str">
        <f>Table134[[#This Row],[First Name]]&amp;" "&amp;Table134[[#This Row],[Last Name]]</f>
        <v>David Williams</v>
      </c>
      <c r="K110" t="s">
        <v>45</v>
      </c>
      <c r="L110" s="5">
        <f>Table134[[#This Row],[Calls Reached]]/Table134[[#This Row],[Total Calls]]</f>
        <v>0.42857142857142855</v>
      </c>
      <c r="M110" s="5">
        <f>Table134[[#This Row],[Deals Closed]]/Table134[[#This Row],[Calls Reached]]</f>
        <v>0.41666666666666669</v>
      </c>
      <c r="N110" s="6">
        <f>IFERROR(Table134[[#This Row],[Deal Value ($)]]/Table134[[#This Row],[Deals Closed]],0)</f>
        <v>44.974000000000004</v>
      </c>
      <c r="O110" s="6">
        <f>Table134[[#This Row],[Deal Value ($)]]/Table134[[#This Row],[Total Calls]]</f>
        <v>8.031071428571428</v>
      </c>
      <c r="P110" t="str">
        <f>IF(Table134[[#This Row],[Conversion Rate]]&gt;=20%,"High","Low")</f>
        <v>High</v>
      </c>
    </row>
    <row r="111" spans="1:16" x14ac:dyDescent="0.25">
      <c r="A111" s="2">
        <v>45352</v>
      </c>
      <c r="B111" s="2" t="str">
        <f>TEXT(Table134[[#This Row],[Date]],"MMM")</f>
        <v>Mar</v>
      </c>
      <c r="C111">
        <v>39</v>
      </c>
      <c r="D111">
        <v>16</v>
      </c>
      <c r="E111" s="3">
        <v>312.8</v>
      </c>
      <c r="F111">
        <v>8</v>
      </c>
      <c r="G111" s="6">
        <v>4592.09</v>
      </c>
      <c r="H111" t="s">
        <v>34</v>
      </c>
      <c r="I111" t="s">
        <v>36</v>
      </c>
      <c r="J111" t="str">
        <f>Table134[[#This Row],[First Name]]&amp;" "&amp;Table134[[#This Row],[Last Name]]</f>
        <v>Mimi Smith</v>
      </c>
      <c r="K111" t="s">
        <v>46</v>
      </c>
      <c r="L111" s="5">
        <f>Table134[[#This Row],[Calls Reached]]/Table134[[#This Row],[Total Calls]]</f>
        <v>0.41025641025641024</v>
      </c>
      <c r="M111" s="5">
        <f>Table134[[#This Row],[Deals Closed]]/Table134[[#This Row],[Calls Reached]]</f>
        <v>0.5</v>
      </c>
      <c r="N111" s="6">
        <f>IFERROR(Table134[[#This Row],[Deal Value ($)]]/Table134[[#This Row],[Deals Closed]],0)</f>
        <v>574.01125000000002</v>
      </c>
      <c r="O111" s="6">
        <f>Table134[[#This Row],[Deal Value ($)]]/Table134[[#This Row],[Total Calls]]</f>
        <v>117.74589743589743</v>
      </c>
      <c r="P111" t="str">
        <f>IF(Table134[[#This Row],[Conversion Rate]]&gt;=20%,"High","Low")</f>
        <v>High</v>
      </c>
    </row>
    <row r="112" spans="1:16" x14ac:dyDescent="0.25">
      <c r="A112" s="2">
        <v>45352</v>
      </c>
      <c r="B112" s="2" t="str">
        <f>TEXT(Table134[[#This Row],[Date]],"MMM")</f>
        <v>Mar</v>
      </c>
      <c r="C112">
        <v>62</v>
      </c>
      <c r="D112">
        <v>9</v>
      </c>
      <c r="E112" s="3">
        <v>252.77</v>
      </c>
      <c r="F112">
        <v>7</v>
      </c>
      <c r="G112" s="6">
        <v>4641.6099999999997</v>
      </c>
      <c r="H112" t="s">
        <v>16</v>
      </c>
      <c r="I112" t="s">
        <v>43</v>
      </c>
      <c r="J112" t="str">
        <f>Table134[[#This Row],[First Name]]&amp;" "&amp;Table134[[#This Row],[Last Name]]</f>
        <v>Charlie Williams</v>
      </c>
      <c r="K112" t="s">
        <v>45</v>
      </c>
      <c r="L112" s="5">
        <f>Table134[[#This Row],[Calls Reached]]/Table134[[#This Row],[Total Calls]]</f>
        <v>0.14516129032258066</v>
      </c>
      <c r="M112" s="5">
        <f>Table134[[#This Row],[Deals Closed]]/Table134[[#This Row],[Calls Reached]]</f>
        <v>0.77777777777777779</v>
      </c>
      <c r="N112" s="6">
        <f>IFERROR(Table134[[#This Row],[Deal Value ($)]]/Table134[[#This Row],[Deals Closed]],0)</f>
        <v>663.08714285714279</v>
      </c>
      <c r="O112" s="6">
        <f>Table134[[#This Row],[Deal Value ($)]]/Table134[[#This Row],[Total Calls]]</f>
        <v>74.864677419354834</v>
      </c>
      <c r="P112" t="str">
        <f>IF(Table134[[#This Row],[Conversion Rate]]&gt;=20%,"High","Low")</f>
        <v>High</v>
      </c>
    </row>
    <row r="113" spans="1:16" x14ac:dyDescent="0.25">
      <c r="A113" s="2">
        <v>45352</v>
      </c>
      <c r="B113" s="2" t="str">
        <f>TEXT(Table134[[#This Row],[Date]],"MMM")</f>
        <v>Mar</v>
      </c>
      <c r="C113">
        <v>88</v>
      </c>
      <c r="D113">
        <v>18</v>
      </c>
      <c r="E113" s="3">
        <v>291.04000000000002</v>
      </c>
      <c r="F113">
        <v>2</v>
      </c>
      <c r="G113" s="6">
        <v>2619.84</v>
      </c>
      <c r="H113" t="s">
        <v>15</v>
      </c>
      <c r="I113" t="s">
        <v>35</v>
      </c>
      <c r="J113" t="str">
        <f>Table134[[#This Row],[First Name]]&amp;" "&amp;Table134[[#This Row],[Last Name]]</f>
        <v>Rick Garcia</v>
      </c>
      <c r="K113" t="s">
        <v>45</v>
      </c>
      <c r="L113" s="5">
        <f>Table134[[#This Row],[Calls Reached]]/Table134[[#This Row],[Total Calls]]</f>
        <v>0.20454545454545456</v>
      </c>
      <c r="M113" s="5">
        <f>Table134[[#This Row],[Deals Closed]]/Table134[[#This Row],[Calls Reached]]</f>
        <v>0.1111111111111111</v>
      </c>
      <c r="N113" s="6">
        <f>IFERROR(Table134[[#This Row],[Deal Value ($)]]/Table134[[#This Row],[Deals Closed]],0)</f>
        <v>1309.92</v>
      </c>
      <c r="O113" s="6">
        <f>Table134[[#This Row],[Deal Value ($)]]/Table134[[#This Row],[Total Calls]]</f>
        <v>29.770909090909093</v>
      </c>
      <c r="P113" t="str">
        <f>IF(Table134[[#This Row],[Conversion Rate]]&gt;=20%,"High","Low")</f>
        <v>Low</v>
      </c>
    </row>
    <row r="114" spans="1:16" x14ac:dyDescent="0.25">
      <c r="A114" s="2">
        <v>45352</v>
      </c>
      <c r="B114" s="2" t="str">
        <f>TEXT(Table134[[#This Row],[Date]],"MMM")</f>
        <v>Mar</v>
      </c>
      <c r="C114">
        <v>50</v>
      </c>
      <c r="D114">
        <v>8</v>
      </c>
      <c r="E114" s="3">
        <v>512.92999999999995</v>
      </c>
      <c r="F114">
        <v>3</v>
      </c>
      <c r="G114" s="6">
        <v>3725.66</v>
      </c>
      <c r="H114" t="s">
        <v>14</v>
      </c>
      <c r="I114" t="s">
        <v>35</v>
      </c>
      <c r="J114" t="str">
        <f>Table134[[#This Row],[First Name]]&amp;" "&amp;Table134[[#This Row],[Last Name]]</f>
        <v>Bob Garcia</v>
      </c>
      <c r="K114" t="s">
        <v>45</v>
      </c>
      <c r="L114" s="5">
        <f>Table134[[#This Row],[Calls Reached]]/Table134[[#This Row],[Total Calls]]</f>
        <v>0.16</v>
      </c>
      <c r="M114" s="5">
        <f>Table134[[#This Row],[Deals Closed]]/Table134[[#This Row],[Calls Reached]]</f>
        <v>0.375</v>
      </c>
      <c r="N114" s="6">
        <f>IFERROR(Table134[[#This Row],[Deal Value ($)]]/Table134[[#This Row],[Deals Closed]],0)</f>
        <v>1241.8866666666665</v>
      </c>
      <c r="O114" s="6">
        <f>Table134[[#This Row],[Deal Value ($)]]/Table134[[#This Row],[Total Calls]]</f>
        <v>74.513199999999998</v>
      </c>
      <c r="P114" t="str">
        <f>IF(Table134[[#This Row],[Conversion Rate]]&gt;=20%,"High","Low")</f>
        <v>High</v>
      </c>
    </row>
    <row r="115" spans="1:16" x14ac:dyDescent="0.25">
      <c r="A115" s="2">
        <v>45352</v>
      </c>
      <c r="B115" s="2" t="str">
        <f>TEXT(Table134[[#This Row],[Date]],"MMM")</f>
        <v>Mar</v>
      </c>
      <c r="C115">
        <v>77</v>
      </c>
      <c r="D115">
        <v>14</v>
      </c>
      <c r="E115" s="3">
        <v>494.43</v>
      </c>
      <c r="F115">
        <v>4</v>
      </c>
      <c r="G115" s="6">
        <v>963.35</v>
      </c>
      <c r="H115" t="s">
        <v>13</v>
      </c>
      <c r="I115" t="s">
        <v>37</v>
      </c>
      <c r="J115" t="str">
        <f>Table134[[#This Row],[First Name]]&amp;" "&amp;Table134[[#This Row],[Last Name]]</f>
        <v>Liam Johnson</v>
      </c>
      <c r="K115" t="s">
        <v>46</v>
      </c>
      <c r="L115" s="5">
        <f>Table134[[#This Row],[Calls Reached]]/Table134[[#This Row],[Total Calls]]</f>
        <v>0.18181818181818182</v>
      </c>
      <c r="M115" s="5">
        <f>Table134[[#This Row],[Deals Closed]]/Table134[[#This Row],[Calls Reached]]</f>
        <v>0.2857142857142857</v>
      </c>
      <c r="N115" s="6">
        <f>IFERROR(Table134[[#This Row],[Deal Value ($)]]/Table134[[#This Row],[Deals Closed]],0)</f>
        <v>240.83750000000001</v>
      </c>
      <c r="O115" s="6">
        <f>Table134[[#This Row],[Deal Value ($)]]/Table134[[#This Row],[Total Calls]]</f>
        <v>12.511038961038961</v>
      </c>
      <c r="P115" t="str">
        <f>IF(Table134[[#This Row],[Conversion Rate]]&gt;=20%,"High","Low")</f>
        <v>High</v>
      </c>
    </row>
    <row r="116" spans="1:16" x14ac:dyDescent="0.25">
      <c r="A116" s="2">
        <v>45352</v>
      </c>
      <c r="B116" s="2" t="str">
        <f>TEXT(Table134[[#This Row],[Date]],"MMM")</f>
        <v>Mar</v>
      </c>
      <c r="C116">
        <v>19</v>
      </c>
      <c r="D116">
        <v>6</v>
      </c>
      <c r="E116" s="3">
        <v>82.65</v>
      </c>
      <c r="F116">
        <v>3</v>
      </c>
      <c r="G116" s="6">
        <v>1469.62</v>
      </c>
      <c r="H116" t="s">
        <v>12</v>
      </c>
      <c r="I116" t="s">
        <v>43</v>
      </c>
      <c r="J116" t="str">
        <f>Table134[[#This Row],[First Name]]&amp;" "&amp;Table134[[#This Row],[Last Name]]</f>
        <v>Jake Williams</v>
      </c>
      <c r="K116" t="s">
        <v>46</v>
      </c>
      <c r="L116" s="5">
        <f>Table134[[#This Row],[Calls Reached]]/Table134[[#This Row],[Total Calls]]</f>
        <v>0.31578947368421051</v>
      </c>
      <c r="M116" s="5">
        <f>Table134[[#This Row],[Deals Closed]]/Table134[[#This Row],[Calls Reached]]</f>
        <v>0.5</v>
      </c>
      <c r="N116" s="6">
        <f>IFERROR(Table134[[#This Row],[Deal Value ($)]]/Table134[[#This Row],[Deals Closed]],0)</f>
        <v>489.87333333333328</v>
      </c>
      <c r="O116" s="6">
        <f>Table134[[#This Row],[Deal Value ($)]]/Table134[[#This Row],[Total Calls]]</f>
        <v>77.348421052631579</v>
      </c>
      <c r="P116" t="str">
        <f>IF(Table134[[#This Row],[Conversion Rate]]&gt;=20%,"High","Low")</f>
        <v>High</v>
      </c>
    </row>
    <row r="117" spans="1:16" x14ac:dyDescent="0.25">
      <c r="A117" s="2">
        <v>45352</v>
      </c>
      <c r="B117" s="2" t="str">
        <f>TEXT(Table134[[#This Row],[Date]],"MMM")</f>
        <v>Mar</v>
      </c>
      <c r="C117">
        <v>59</v>
      </c>
      <c r="D117">
        <v>13</v>
      </c>
      <c r="E117" s="3">
        <v>402.9</v>
      </c>
      <c r="F117">
        <v>2</v>
      </c>
      <c r="G117" s="6">
        <v>3357.27</v>
      </c>
      <c r="H117" t="s">
        <v>11</v>
      </c>
      <c r="I117" t="s">
        <v>43</v>
      </c>
      <c r="J117" t="str">
        <f>Table134[[#This Row],[First Name]]&amp;" "&amp;Table134[[#This Row],[Last Name]]</f>
        <v>Diana Williams</v>
      </c>
      <c r="K117" t="s">
        <v>45</v>
      </c>
      <c r="L117" s="5">
        <f>Table134[[#This Row],[Calls Reached]]/Table134[[#This Row],[Total Calls]]</f>
        <v>0.22033898305084745</v>
      </c>
      <c r="M117" s="5">
        <f>Table134[[#This Row],[Deals Closed]]/Table134[[#This Row],[Calls Reached]]</f>
        <v>0.15384615384615385</v>
      </c>
      <c r="N117" s="6">
        <f>IFERROR(Table134[[#This Row],[Deal Value ($)]]/Table134[[#This Row],[Deals Closed]],0)</f>
        <v>1678.635</v>
      </c>
      <c r="O117" s="6">
        <f>Table134[[#This Row],[Deal Value ($)]]/Table134[[#This Row],[Total Calls]]</f>
        <v>56.902881355932202</v>
      </c>
      <c r="P117" t="str">
        <f>IF(Table134[[#This Row],[Conversion Rate]]&gt;=20%,"High","Low")</f>
        <v>Low</v>
      </c>
    </row>
    <row r="118" spans="1:16" x14ac:dyDescent="0.25">
      <c r="A118" s="2">
        <v>45352</v>
      </c>
      <c r="B118" s="2" t="str">
        <f>TEXT(Table134[[#This Row],[Date]],"MMM")</f>
        <v>Mar</v>
      </c>
      <c r="C118">
        <v>91</v>
      </c>
      <c r="D118">
        <v>10</v>
      </c>
      <c r="E118" s="3">
        <v>361.58</v>
      </c>
      <c r="F118">
        <v>4</v>
      </c>
      <c r="G118" s="6">
        <v>3674.37</v>
      </c>
      <c r="H118" t="s">
        <v>10</v>
      </c>
      <c r="I118" t="s">
        <v>44</v>
      </c>
      <c r="J118" t="str">
        <f>Table134[[#This Row],[First Name]]&amp;" "&amp;Table134[[#This Row],[Last Name]]</f>
        <v>Alice Brown</v>
      </c>
      <c r="K118" t="s">
        <v>45</v>
      </c>
      <c r="L118" s="5">
        <f>Table134[[#This Row],[Calls Reached]]/Table134[[#This Row],[Total Calls]]</f>
        <v>0.10989010989010989</v>
      </c>
      <c r="M118" s="5">
        <f>Table134[[#This Row],[Deals Closed]]/Table134[[#This Row],[Calls Reached]]</f>
        <v>0.4</v>
      </c>
      <c r="N118" s="6">
        <f>IFERROR(Table134[[#This Row],[Deal Value ($)]]/Table134[[#This Row],[Deals Closed]],0)</f>
        <v>918.59249999999997</v>
      </c>
      <c r="O118" s="6">
        <f>Table134[[#This Row],[Deal Value ($)]]/Table134[[#This Row],[Total Calls]]</f>
        <v>40.377692307692307</v>
      </c>
      <c r="P118" t="str">
        <f>IF(Table134[[#This Row],[Conversion Rate]]&gt;=20%,"High","Low")</f>
        <v>High</v>
      </c>
    </row>
    <row r="119" spans="1:16" x14ac:dyDescent="0.25">
      <c r="A119" s="2">
        <v>45352</v>
      </c>
      <c r="B119" s="2" t="str">
        <f>TEXT(Table134[[#This Row],[Date]],"MMM")</f>
        <v>Mar</v>
      </c>
      <c r="C119">
        <v>55</v>
      </c>
      <c r="D119">
        <v>17</v>
      </c>
      <c r="E119" s="3">
        <v>315.62</v>
      </c>
      <c r="F119">
        <v>5</v>
      </c>
      <c r="G119" s="6">
        <v>3890.73</v>
      </c>
      <c r="H119" t="s">
        <v>9</v>
      </c>
      <c r="I119" t="s">
        <v>38</v>
      </c>
      <c r="J119" t="str">
        <f>Table134[[#This Row],[First Name]]&amp;" "&amp;Table134[[#This Row],[Last Name]]</f>
        <v>Evan Rodriguez</v>
      </c>
      <c r="K119" t="s">
        <v>46</v>
      </c>
      <c r="L119" s="5">
        <f>Table134[[#This Row],[Calls Reached]]/Table134[[#This Row],[Total Calls]]</f>
        <v>0.30909090909090908</v>
      </c>
      <c r="M119" s="5">
        <f>Table134[[#This Row],[Deals Closed]]/Table134[[#This Row],[Calls Reached]]</f>
        <v>0.29411764705882354</v>
      </c>
      <c r="N119" s="6">
        <f>IFERROR(Table134[[#This Row],[Deal Value ($)]]/Table134[[#This Row],[Deals Closed]],0)</f>
        <v>778.14599999999996</v>
      </c>
      <c r="O119" s="6">
        <f>Table134[[#This Row],[Deal Value ($)]]/Table134[[#This Row],[Total Calls]]</f>
        <v>70.740545454545455</v>
      </c>
      <c r="P119" t="str">
        <f>IF(Table134[[#This Row],[Conversion Rate]]&gt;=20%,"High","Low")</f>
        <v>High</v>
      </c>
    </row>
    <row r="120" spans="1:16" x14ac:dyDescent="0.25">
      <c r="A120" s="2">
        <v>45352</v>
      </c>
      <c r="B120" s="2" t="str">
        <f>TEXT(Table134[[#This Row],[Date]],"MMM")</f>
        <v>Mar</v>
      </c>
      <c r="C120">
        <v>108</v>
      </c>
      <c r="D120">
        <v>14</v>
      </c>
      <c r="E120" s="3">
        <v>416.78</v>
      </c>
      <c r="F120">
        <v>1</v>
      </c>
      <c r="G120" s="6">
        <v>2989.69</v>
      </c>
      <c r="H120" t="s">
        <v>32</v>
      </c>
      <c r="I120" t="s">
        <v>35</v>
      </c>
      <c r="J120" t="str">
        <f>Table134[[#This Row],[First Name]]&amp;" "&amp;Table134[[#This Row],[Last Name]]</f>
        <v>Craig Garcia</v>
      </c>
      <c r="K120" t="s">
        <v>45</v>
      </c>
      <c r="L120" s="5">
        <f>Table134[[#This Row],[Calls Reached]]/Table134[[#This Row],[Total Calls]]</f>
        <v>0.12962962962962962</v>
      </c>
      <c r="M120" s="5">
        <f>Table134[[#This Row],[Deals Closed]]/Table134[[#This Row],[Calls Reached]]</f>
        <v>7.1428571428571425E-2</v>
      </c>
      <c r="N120" s="6">
        <f>IFERROR(Table134[[#This Row],[Deal Value ($)]]/Table134[[#This Row],[Deals Closed]],0)</f>
        <v>2989.69</v>
      </c>
      <c r="O120" s="6">
        <f>Table134[[#This Row],[Deal Value ($)]]/Table134[[#This Row],[Total Calls]]</f>
        <v>27.682314814814816</v>
      </c>
      <c r="P120" t="str">
        <f>IF(Table134[[#This Row],[Conversion Rate]]&gt;=20%,"High","Low")</f>
        <v>Low</v>
      </c>
    </row>
    <row r="121" spans="1:16" x14ac:dyDescent="0.25">
      <c r="A121" s="2">
        <v>45352</v>
      </c>
      <c r="B121" s="2" t="str">
        <f>TEXT(Table134[[#This Row],[Date]],"MMM")</f>
        <v>Mar</v>
      </c>
      <c r="C121">
        <v>33</v>
      </c>
      <c r="D121">
        <v>18</v>
      </c>
      <c r="E121" s="3">
        <v>348.57</v>
      </c>
      <c r="F121">
        <v>8</v>
      </c>
      <c r="G121" s="6">
        <v>1169.6400000000001</v>
      </c>
      <c r="H121" t="s">
        <v>17</v>
      </c>
      <c r="I121" t="s">
        <v>41</v>
      </c>
      <c r="J121" t="str">
        <f>Table134[[#This Row],[First Name]]&amp;" "&amp;Table134[[#This Row],[Last Name]]</f>
        <v>Molly Miller</v>
      </c>
      <c r="K121" t="s">
        <v>45</v>
      </c>
      <c r="L121" s="5">
        <f>Table134[[#This Row],[Calls Reached]]/Table134[[#This Row],[Total Calls]]</f>
        <v>0.54545454545454541</v>
      </c>
      <c r="M121" s="5">
        <f>Table134[[#This Row],[Deals Closed]]/Table134[[#This Row],[Calls Reached]]</f>
        <v>0.44444444444444442</v>
      </c>
      <c r="N121" s="6">
        <f>IFERROR(Table134[[#This Row],[Deal Value ($)]]/Table134[[#This Row],[Deals Closed]],0)</f>
        <v>146.20500000000001</v>
      </c>
      <c r="O121" s="6">
        <f>Table134[[#This Row],[Deal Value ($)]]/Table134[[#This Row],[Total Calls]]</f>
        <v>35.443636363636365</v>
      </c>
      <c r="P121" t="str">
        <f>IF(Table134[[#This Row],[Conversion Rate]]&gt;=20%,"High","Low")</f>
        <v>High</v>
      </c>
    </row>
    <row r="122" spans="1:16" x14ac:dyDescent="0.25">
      <c r="A122" s="2">
        <v>45355</v>
      </c>
      <c r="B122" s="2" t="str">
        <f>TEXT(Table134[[#This Row],[Date]],"MMM")</f>
        <v>Mar</v>
      </c>
      <c r="C122">
        <v>88</v>
      </c>
      <c r="D122">
        <v>42</v>
      </c>
      <c r="E122" s="3">
        <v>593.31978925058775</v>
      </c>
      <c r="F122">
        <v>7</v>
      </c>
      <c r="G122" s="6">
        <v>3750.2011933504659</v>
      </c>
      <c r="H122" t="s">
        <v>48</v>
      </c>
      <c r="I122" t="s">
        <v>37</v>
      </c>
      <c r="J122" t="str">
        <f>Table134[[#This Row],[First Name]]&amp;" "&amp;Table134[[#This Row],[Last Name]]</f>
        <v>Anna Johnson</v>
      </c>
      <c r="K122" t="s">
        <v>46</v>
      </c>
      <c r="L122" s="5">
        <f>Table134[[#This Row],[Calls Reached]]/Table134[[#This Row],[Total Calls]]</f>
        <v>0.47727272727272729</v>
      </c>
      <c r="M122" s="5">
        <f>Table134[[#This Row],[Deals Closed]]/Table134[[#This Row],[Calls Reached]]</f>
        <v>0.16666666666666666</v>
      </c>
      <c r="N122" s="6">
        <f>IFERROR(Table134[[#This Row],[Deal Value ($)]]/Table134[[#This Row],[Deals Closed]],0)</f>
        <v>535.74302762149512</v>
      </c>
      <c r="O122" s="6">
        <f>Table134[[#This Row],[Deal Value ($)]]/Table134[[#This Row],[Total Calls]]</f>
        <v>42.615922651709838</v>
      </c>
      <c r="P122" t="str">
        <f>IF(Table134[[#This Row],[Conversion Rate]]&gt;=20%,"High","Low")</f>
        <v>Low</v>
      </c>
    </row>
    <row r="123" spans="1:16" x14ac:dyDescent="0.25">
      <c r="A123" s="2">
        <v>45356</v>
      </c>
      <c r="B123" s="2" t="str">
        <f>TEXT(Table134[[#This Row],[Date]],"MMM")</f>
        <v>Mar</v>
      </c>
      <c r="C123">
        <v>67</v>
      </c>
      <c r="D123">
        <v>77</v>
      </c>
      <c r="E123" s="3">
        <v>287.13539787806019</v>
      </c>
      <c r="F123">
        <v>25</v>
      </c>
      <c r="G123" s="6">
        <v>4350.6341064782864</v>
      </c>
      <c r="H123" t="s">
        <v>49</v>
      </c>
      <c r="I123" t="s">
        <v>43</v>
      </c>
      <c r="J123" t="str">
        <f>Table134[[#This Row],[First Name]]&amp;" "&amp;Table134[[#This Row],[Last Name]]</f>
        <v>Jane Williams</v>
      </c>
      <c r="K123" t="s">
        <v>45</v>
      </c>
      <c r="L123" s="5">
        <f>Table134[[#This Row],[Calls Reached]]/Table134[[#This Row],[Total Calls]]</f>
        <v>1.1492537313432836</v>
      </c>
      <c r="M123" s="5">
        <f>Table134[[#This Row],[Deals Closed]]/Table134[[#This Row],[Calls Reached]]</f>
        <v>0.32467532467532467</v>
      </c>
      <c r="N123" s="6">
        <f>IFERROR(Table134[[#This Row],[Deal Value ($)]]/Table134[[#This Row],[Deals Closed]],0)</f>
        <v>174.02536425913146</v>
      </c>
      <c r="O123" s="6">
        <f>Table134[[#This Row],[Deal Value ($)]]/Table134[[#This Row],[Total Calls]]</f>
        <v>64.934837410123677</v>
      </c>
      <c r="P123" t="str">
        <f>IF(Table134[[#This Row],[Conversion Rate]]&gt;=20%,"High","Low")</f>
        <v>High</v>
      </c>
    </row>
    <row r="124" spans="1:16" x14ac:dyDescent="0.25">
      <c r="A124" s="2">
        <v>45357</v>
      </c>
      <c r="B124" s="2" t="str">
        <f>TEXT(Table134[[#This Row],[Date]],"MMM")</f>
        <v>Mar</v>
      </c>
      <c r="C124">
        <v>53</v>
      </c>
      <c r="D124">
        <v>42</v>
      </c>
      <c r="E124" s="3">
        <v>285.32107353344537</v>
      </c>
      <c r="F124">
        <v>4</v>
      </c>
      <c r="G124" s="6">
        <v>4235.9893905514618</v>
      </c>
      <c r="H124" t="s">
        <v>47</v>
      </c>
      <c r="I124" t="s">
        <v>44</v>
      </c>
      <c r="J124" t="str">
        <f>Table134[[#This Row],[First Name]]&amp;" "&amp;Table134[[#This Row],[Last Name]]</f>
        <v>John Brown</v>
      </c>
      <c r="K124" t="s">
        <v>45</v>
      </c>
      <c r="L124" s="5">
        <f>Table134[[#This Row],[Calls Reached]]/Table134[[#This Row],[Total Calls]]</f>
        <v>0.79245283018867929</v>
      </c>
      <c r="M124" s="5">
        <f>Table134[[#This Row],[Deals Closed]]/Table134[[#This Row],[Calls Reached]]</f>
        <v>9.5238095238095233E-2</v>
      </c>
      <c r="N124" s="6">
        <f>IFERROR(Table134[[#This Row],[Deal Value ($)]]/Table134[[#This Row],[Deals Closed]],0)</f>
        <v>1058.9973476378655</v>
      </c>
      <c r="O124" s="6">
        <f>Table134[[#This Row],[Deal Value ($)]]/Table134[[#This Row],[Total Calls]]</f>
        <v>79.924328123612483</v>
      </c>
      <c r="P124" t="str">
        <f>IF(Table134[[#This Row],[Conversion Rate]]&gt;=20%,"High","Low")</f>
        <v>Low</v>
      </c>
    </row>
    <row r="125" spans="1:16" x14ac:dyDescent="0.25">
      <c r="A125" s="2">
        <v>45358</v>
      </c>
      <c r="B125" s="2" t="str">
        <f>TEXT(Table134[[#This Row],[Date]],"MMM")</f>
        <v>Mar</v>
      </c>
      <c r="C125">
        <v>74</v>
      </c>
      <c r="D125">
        <v>23</v>
      </c>
      <c r="E125" s="3">
        <v>506.39978362875132</v>
      </c>
      <c r="F125">
        <v>5</v>
      </c>
      <c r="G125" s="6">
        <v>2287.325883283047</v>
      </c>
      <c r="H125" t="s">
        <v>12</v>
      </c>
      <c r="I125" t="s">
        <v>42</v>
      </c>
      <c r="J125" t="str">
        <f>Table134[[#This Row],[First Name]]&amp;" "&amp;Table134[[#This Row],[Last Name]]</f>
        <v>Jake Martinez</v>
      </c>
      <c r="K125" t="s">
        <v>46</v>
      </c>
      <c r="L125" s="5">
        <f>Table134[[#This Row],[Calls Reached]]/Table134[[#This Row],[Total Calls]]</f>
        <v>0.3108108108108108</v>
      </c>
      <c r="M125" s="5">
        <f>Table134[[#This Row],[Deals Closed]]/Table134[[#This Row],[Calls Reached]]</f>
        <v>0.21739130434782608</v>
      </c>
      <c r="N125" s="6">
        <f>IFERROR(Table134[[#This Row],[Deal Value ($)]]/Table134[[#This Row],[Deals Closed]],0)</f>
        <v>457.4651766566094</v>
      </c>
      <c r="O125" s="6">
        <f>Table134[[#This Row],[Deal Value ($)]]/Table134[[#This Row],[Total Calls]]</f>
        <v>30.909809233554689</v>
      </c>
      <c r="P125" t="str">
        <f>IF(Table134[[#This Row],[Conversion Rate]]&gt;=20%,"High","Low")</f>
        <v>High</v>
      </c>
    </row>
    <row r="126" spans="1:16" x14ac:dyDescent="0.25">
      <c r="A126" s="2">
        <v>45359</v>
      </c>
      <c r="B126" s="2" t="str">
        <f>TEXT(Table134[[#This Row],[Date]],"MMM")</f>
        <v>Mar</v>
      </c>
      <c r="C126">
        <v>63</v>
      </c>
      <c r="D126">
        <v>30</v>
      </c>
      <c r="E126" s="3">
        <v>573.62428869192934</v>
      </c>
      <c r="F126">
        <v>25</v>
      </c>
      <c r="G126" s="6">
        <v>3506.3831145679078</v>
      </c>
      <c r="H126" t="s">
        <v>10</v>
      </c>
      <c r="I126" t="s">
        <v>38</v>
      </c>
      <c r="J126" t="str">
        <f>Table134[[#This Row],[First Name]]&amp;" "&amp;Table134[[#This Row],[Last Name]]</f>
        <v>Alice Rodriguez</v>
      </c>
      <c r="K126" t="s">
        <v>46</v>
      </c>
      <c r="L126" s="5">
        <f>Table134[[#This Row],[Calls Reached]]/Table134[[#This Row],[Total Calls]]</f>
        <v>0.47619047619047616</v>
      </c>
      <c r="M126" s="5">
        <f>Table134[[#This Row],[Deals Closed]]/Table134[[#This Row],[Calls Reached]]</f>
        <v>0.83333333333333337</v>
      </c>
      <c r="N126" s="6">
        <f>IFERROR(Table134[[#This Row],[Deal Value ($)]]/Table134[[#This Row],[Deals Closed]],0)</f>
        <v>140.2553245827163</v>
      </c>
      <c r="O126" s="6">
        <f>Table134[[#This Row],[Deal Value ($)]]/Table134[[#This Row],[Total Calls]]</f>
        <v>55.656874834411234</v>
      </c>
      <c r="P126" t="str">
        <f>IF(Table134[[#This Row],[Conversion Rate]]&gt;=20%,"High","Low")</f>
        <v>High</v>
      </c>
    </row>
    <row r="127" spans="1:16" x14ac:dyDescent="0.25">
      <c r="A127" s="2">
        <v>45362</v>
      </c>
      <c r="B127" s="2" t="str">
        <f>TEXT(Table134[[#This Row],[Date]],"MMM")</f>
        <v>Mar</v>
      </c>
      <c r="C127">
        <v>99</v>
      </c>
      <c r="D127">
        <v>57</v>
      </c>
      <c r="E127" s="3">
        <v>593.00053191143547</v>
      </c>
      <c r="F127">
        <v>3</v>
      </c>
      <c r="G127" s="6">
        <v>1422.4293293711939</v>
      </c>
      <c r="H127" t="s">
        <v>47</v>
      </c>
      <c r="I127" t="s">
        <v>36</v>
      </c>
      <c r="J127" t="str">
        <f>Table134[[#This Row],[First Name]]&amp;" "&amp;Table134[[#This Row],[Last Name]]</f>
        <v>John Smith</v>
      </c>
      <c r="K127" t="s">
        <v>45</v>
      </c>
      <c r="L127" s="5">
        <f>Table134[[#This Row],[Calls Reached]]/Table134[[#This Row],[Total Calls]]</f>
        <v>0.5757575757575758</v>
      </c>
      <c r="M127" s="5">
        <f>Table134[[#This Row],[Deals Closed]]/Table134[[#This Row],[Calls Reached]]</f>
        <v>5.2631578947368418E-2</v>
      </c>
      <c r="N127" s="6">
        <f>IFERROR(Table134[[#This Row],[Deal Value ($)]]/Table134[[#This Row],[Deals Closed]],0)</f>
        <v>474.143109790398</v>
      </c>
      <c r="O127" s="6">
        <f>Table134[[#This Row],[Deal Value ($)]]/Table134[[#This Row],[Total Calls]]</f>
        <v>14.367973023951453</v>
      </c>
      <c r="P127" t="str">
        <f>IF(Table134[[#This Row],[Conversion Rate]]&gt;=20%,"High","Low")</f>
        <v>Low</v>
      </c>
    </row>
    <row r="128" spans="1:16" x14ac:dyDescent="0.25">
      <c r="A128" s="2">
        <v>45363</v>
      </c>
      <c r="B128" s="2" t="str">
        <f>TEXT(Table134[[#This Row],[Date]],"MMM")</f>
        <v>Mar</v>
      </c>
      <c r="C128">
        <v>58</v>
      </c>
      <c r="D128">
        <v>29</v>
      </c>
      <c r="E128" s="3">
        <v>476.68909262947079</v>
      </c>
      <c r="F128">
        <v>18</v>
      </c>
      <c r="G128" s="6">
        <v>1819.16478617456</v>
      </c>
      <c r="H128" t="s">
        <v>9</v>
      </c>
      <c r="I128" t="s">
        <v>42</v>
      </c>
      <c r="J128" t="str">
        <f>Table134[[#This Row],[First Name]]&amp;" "&amp;Table134[[#This Row],[Last Name]]</f>
        <v>Evan Martinez</v>
      </c>
      <c r="K128" t="s">
        <v>45</v>
      </c>
      <c r="L128" s="5">
        <f>Table134[[#This Row],[Calls Reached]]/Table134[[#This Row],[Total Calls]]</f>
        <v>0.5</v>
      </c>
      <c r="M128" s="5">
        <f>Table134[[#This Row],[Deals Closed]]/Table134[[#This Row],[Calls Reached]]</f>
        <v>0.62068965517241381</v>
      </c>
      <c r="N128" s="6">
        <f>IFERROR(Table134[[#This Row],[Deal Value ($)]]/Table134[[#This Row],[Deals Closed]],0)</f>
        <v>101.06471034303111</v>
      </c>
      <c r="O128" s="6">
        <f>Table134[[#This Row],[Deal Value ($)]]/Table134[[#This Row],[Total Calls]]</f>
        <v>31.364910106457931</v>
      </c>
      <c r="P128" t="str">
        <f>IF(Table134[[#This Row],[Conversion Rate]]&gt;=20%,"High","Low")</f>
        <v>High</v>
      </c>
    </row>
    <row r="129" spans="1:16" x14ac:dyDescent="0.25">
      <c r="A129" s="2">
        <v>45364</v>
      </c>
      <c r="B129" s="2" t="str">
        <f>TEXT(Table134[[#This Row],[Date]],"MMM")</f>
        <v>Mar</v>
      </c>
      <c r="C129">
        <v>75</v>
      </c>
      <c r="D129">
        <v>17</v>
      </c>
      <c r="E129" s="3">
        <v>288.12979276545792</v>
      </c>
      <c r="F129">
        <v>19</v>
      </c>
      <c r="G129" s="6">
        <v>4533.5111833450392</v>
      </c>
      <c r="H129" t="s">
        <v>18</v>
      </c>
      <c r="I129" t="s">
        <v>42</v>
      </c>
      <c r="J129" t="str">
        <f>Table134[[#This Row],[First Name]]&amp;" "&amp;Table134[[#This Row],[Last Name]]</f>
        <v>Chris Martinez</v>
      </c>
      <c r="K129" t="s">
        <v>46</v>
      </c>
      <c r="L129" s="5">
        <f>Table134[[#This Row],[Calls Reached]]/Table134[[#This Row],[Total Calls]]</f>
        <v>0.22666666666666666</v>
      </c>
      <c r="M129" s="5">
        <f>Table134[[#This Row],[Deals Closed]]/Table134[[#This Row],[Calls Reached]]</f>
        <v>1.1176470588235294</v>
      </c>
      <c r="N129" s="6">
        <f>IFERROR(Table134[[#This Row],[Deal Value ($)]]/Table134[[#This Row],[Deals Closed]],0)</f>
        <v>238.60585175500205</v>
      </c>
      <c r="O129" s="6">
        <f>Table134[[#This Row],[Deal Value ($)]]/Table134[[#This Row],[Total Calls]]</f>
        <v>60.446815777933857</v>
      </c>
      <c r="P129" t="str">
        <f>IF(Table134[[#This Row],[Conversion Rate]]&gt;=20%,"High","Low")</f>
        <v>High</v>
      </c>
    </row>
    <row r="130" spans="1:16" x14ac:dyDescent="0.25">
      <c r="A130" s="2">
        <v>45365</v>
      </c>
      <c r="B130" s="2" t="str">
        <f>TEXT(Table134[[#This Row],[Date]],"MMM")</f>
        <v>Mar</v>
      </c>
      <c r="C130">
        <v>51</v>
      </c>
      <c r="D130">
        <v>16</v>
      </c>
      <c r="E130" s="3">
        <v>141.75035834933439</v>
      </c>
      <c r="F130">
        <v>32</v>
      </c>
      <c r="G130" s="6">
        <v>558.50865579831213</v>
      </c>
      <c r="H130" t="s">
        <v>18</v>
      </c>
      <c r="I130" t="s">
        <v>38</v>
      </c>
      <c r="J130" t="str">
        <f>Table134[[#This Row],[First Name]]&amp;" "&amp;Table134[[#This Row],[Last Name]]</f>
        <v>Chris Rodriguez</v>
      </c>
      <c r="K130" t="s">
        <v>46</v>
      </c>
      <c r="L130" s="5">
        <f>Table134[[#This Row],[Calls Reached]]/Table134[[#This Row],[Total Calls]]</f>
        <v>0.31372549019607843</v>
      </c>
      <c r="M130" s="5">
        <f>Table134[[#This Row],[Deals Closed]]/Table134[[#This Row],[Calls Reached]]</f>
        <v>2</v>
      </c>
      <c r="N130" s="6">
        <f>IFERROR(Table134[[#This Row],[Deal Value ($)]]/Table134[[#This Row],[Deals Closed]],0)</f>
        <v>17.453395493697254</v>
      </c>
      <c r="O130" s="6">
        <f>Table134[[#This Row],[Deal Value ($)]]/Table134[[#This Row],[Total Calls]]</f>
        <v>10.951150113692394</v>
      </c>
      <c r="P130" t="str">
        <f>IF(Table134[[#This Row],[Conversion Rate]]&gt;=20%,"High","Low")</f>
        <v>High</v>
      </c>
    </row>
    <row r="131" spans="1:16" x14ac:dyDescent="0.25">
      <c r="A131" s="2">
        <v>45366</v>
      </c>
      <c r="B131" s="2" t="str">
        <f>TEXT(Table134[[#This Row],[Date]],"MMM")</f>
        <v>Mar</v>
      </c>
      <c r="C131">
        <v>69</v>
      </c>
      <c r="D131">
        <v>76</v>
      </c>
      <c r="E131" s="3">
        <v>488.5734579637184</v>
      </c>
      <c r="F131">
        <v>19</v>
      </c>
      <c r="G131" s="6">
        <v>884.78838884510628</v>
      </c>
      <c r="H131" t="s">
        <v>49</v>
      </c>
      <c r="I131" t="s">
        <v>36</v>
      </c>
      <c r="J131" t="str">
        <f>Table134[[#This Row],[First Name]]&amp;" "&amp;Table134[[#This Row],[Last Name]]</f>
        <v>Jane Smith</v>
      </c>
      <c r="K131" t="s">
        <v>45</v>
      </c>
      <c r="L131" s="5">
        <f>Table134[[#This Row],[Calls Reached]]/Table134[[#This Row],[Total Calls]]</f>
        <v>1.1014492753623188</v>
      </c>
      <c r="M131" s="5">
        <f>Table134[[#This Row],[Deals Closed]]/Table134[[#This Row],[Calls Reached]]</f>
        <v>0.25</v>
      </c>
      <c r="N131" s="6">
        <f>IFERROR(Table134[[#This Row],[Deal Value ($)]]/Table134[[#This Row],[Deals Closed]],0)</f>
        <v>46.567809939216119</v>
      </c>
      <c r="O131" s="6">
        <f>Table134[[#This Row],[Deal Value ($)]]/Table134[[#This Row],[Total Calls]]</f>
        <v>12.823020128189945</v>
      </c>
      <c r="P131" t="str">
        <f>IF(Table134[[#This Row],[Conversion Rate]]&gt;=20%,"High","Low")</f>
        <v>High</v>
      </c>
    </row>
    <row r="132" spans="1:16" x14ac:dyDescent="0.25">
      <c r="A132" s="2">
        <v>45369</v>
      </c>
      <c r="B132" s="2" t="str">
        <f>TEXT(Table134[[#This Row],[Date]],"MMM")</f>
        <v>Mar</v>
      </c>
      <c r="C132">
        <v>77</v>
      </c>
      <c r="D132">
        <v>26</v>
      </c>
      <c r="E132" s="3">
        <v>379.20212486790251</v>
      </c>
      <c r="F132">
        <v>11</v>
      </c>
      <c r="G132" s="6">
        <v>1435.4881481571231</v>
      </c>
      <c r="H132" t="s">
        <v>10</v>
      </c>
      <c r="I132" t="s">
        <v>42</v>
      </c>
      <c r="J132" t="str">
        <f>Table134[[#This Row],[First Name]]&amp;" "&amp;Table134[[#This Row],[Last Name]]</f>
        <v>Alice Martinez</v>
      </c>
      <c r="K132" t="s">
        <v>46</v>
      </c>
      <c r="L132" s="5">
        <f>Table134[[#This Row],[Calls Reached]]/Table134[[#This Row],[Total Calls]]</f>
        <v>0.33766233766233766</v>
      </c>
      <c r="M132" s="5">
        <f>Table134[[#This Row],[Deals Closed]]/Table134[[#This Row],[Calls Reached]]</f>
        <v>0.42307692307692307</v>
      </c>
      <c r="N132" s="6">
        <f>IFERROR(Table134[[#This Row],[Deal Value ($)]]/Table134[[#This Row],[Deals Closed]],0)</f>
        <v>130.49892255973847</v>
      </c>
      <c r="O132" s="6">
        <f>Table134[[#This Row],[Deal Value ($)]]/Table134[[#This Row],[Total Calls]]</f>
        <v>18.64270322281978</v>
      </c>
      <c r="P132" t="str">
        <f>IF(Table134[[#This Row],[Conversion Rate]]&gt;=20%,"High","Low")</f>
        <v>High</v>
      </c>
    </row>
    <row r="133" spans="1:16" x14ac:dyDescent="0.25">
      <c r="A133" s="2">
        <v>45370</v>
      </c>
      <c r="B133" s="2" t="str">
        <f>TEXT(Table134[[#This Row],[Date]],"MMM")</f>
        <v>Mar</v>
      </c>
      <c r="C133">
        <v>96</v>
      </c>
      <c r="D133">
        <v>42</v>
      </c>
      <c r="E133" s="3">
        <v>312.11100462348821</v>
      </c>
      <c r="F133">
        <v>0</v>
      </c>
      <c r="G133" s="6">
        <v>619.39491743218878</v>
      </c>
      <c r="H133" t="s">
        <v>48</v>
      </c>
      <c r="I133" t="s">
        <v>44</v>
      </c>
      <c r="J133" t="str">
        <f>Table134[[#This Row],[First Name]]&amp;" "&amp;Table134[[#This Row],[Last Name]]</f>
        <v>Anna Brown</v>
      </c>
      <c r="K133" t="s">
        <v>45</v>
      </c>
      <c r="L133" s="5">
        <f>Table134[[#This Row],[Calls Reached]]/Table134[[#This Row],[Total Calls]]</f>
        <v>0.4375</v>
      </c>
      <c r="M133" s="5">
        <f>Table134[[#This Row],[Deals Closed]]/Table134[[#This Row],[Calls Reached]]</f>
        <v>0</v>
      </c>
      <c r="N133" s="6">
        <f>IFERROR(Table134[[#This Row],[Deal Value ($)]]/Table134[[#This Row],[Deals Closed]],0)</f>
        <v>0</v>
      </c>
      <c r="O133" s="6">
        <f>Table134[[#This Row],[Deal Value ($)]]/Table134[[#This Row],[Total Calls]]</f>
        <v>6.4520303899186331</v>
      </c>
      <c r="P133" t="str">
        <f>IF(Table134[[#This Row],[Conversion Rate]]&gt;=20%,"High","Low")</f>
        <v>Low</v>
      </c>
    </row>
    <row r="134" spans="1:16" x14ac:dyDescent="0.25">
      <c r="A134" s="2">
        <v>45371</v>
      </c>
      <c r="B134" s="2" t="str">
        <f>TEXT(Table134[[#This Row],[Date]],"MMM")</f>
        <v>Mar</v>
      </c>
      <c r="C134">
        <v>56</v>
      </c>
      <c r="D134">
        <v>57</v>
      </c>
      <c r="E134" s="3">
        <v>553.17719254736801</v>
      </c>
      <c r="F134">
        <v>25</v>
      </c>
      <c r="G134" s="6">
        <v>1316.4594579040879</v>
      </c>
      <c r="H134" t="s">
        <v>12</v>
      </c>
      <c r="I134" t="s">
        <v>44</v>
      </c>
      <c r="J134" t="str">
        <f>Table134[[#This Row],[First Name]]&amp;" "&amp;Table134[[#This Row],[Last Name]]</f>
        <v>Jake Brown</v>
      </c>
      <c r="K134" t="s">
        <v>45</v>
      </c>
      <c r="L134" s="5">
        <f>Table134[[#This Row],[Calls Reached]]/Table134[[#This Row],[Total Calls]]</f>
        <v>1.0178571428571428</v>
      </c>
      <c r="M134" s="5">
        <f>Table134[[#This Row],[Deals Closed]]/Table134[[#This Row],[Calls Reached]]</f>
        <v>0.43859649122807015</v>
      </c>
      <c r="N134" s="6">
        <f>IFERROR(Table134[[#This Row],[Deal Value ($)]]/Table134[[#This Row],[Deals Closed]],0)</f>
        <v>52.658378316163514</v>
      </c>
      <c r="O134" s="6">
        <f>Table134[[#This Row],[Deal Value ($)]]/Table134[[#This Row],[Total Calls]]</f>
        <v>23.508204605430141</v>
      </c>
      <c r="P134" t="str">
        <f>IF(Table134[[#This Row],[Conversion Rate]]&gt;=20%,"High","Low")</f>
        <v>High</v>
      </c>
    </row>
    <row r="135" spans="1:16" x14ac:dyDescent="0.25">
      <c r="A135" s="2">
        <v>45372</v>
      </c>
      <c r="B135" s="2" t="str">
        <f>TEXT(Table134[[#This Row],[Date]],"MMM")</f>
        <v>Mar</v>
      </c>
      <c r="C135">
        <v>93</v>
      </c>
      <c r="D135">
        <v>68</v>
      </c>
      <c r="E135" s="3">
        <v>155.59874115307571</v>
      </c>
      <c r="F135">
        <v>13</v>
      </c>
      <c r="G135" s="6">
        <v>3123.6870243636149</v>
      </c>
      <c r="H135" t="s">
        <v>34</v>
      </c>
      <c r="I135" t="s">
        <v>44</v>
      </c>
      <c r="J135" t="str">
        <f>Table134[[#This Row],[First Name]]&amp;" "&amp;Table134[[#This Row],[Last Name]]</f>
        <v>Mimi Brown</v>
      </c>
      <c r="K135" t="s">
        <v>45</v>
      </c>
      <c r="L135" s="5">
        <f>Table134[[#This Row],[Calls Reached]]/Table134[[#This Row],[Total Calls]]</f>
        <v>0.73118279569892475</v>
      </c>
      <c r="M135" s="5">
        <f>Table134[[#This Row],[Deals Closed]]/Table134[[#This Row],[Calls Reached]]</f>
        <v>0.19117647058823528</v>
      </c>
      <c r="N135" s="6">
        <f>IFERROR(Table134[[#This Row],[Deal Value ($)]]/Table134[[#This Row],[Deals Closed]],0)</f>
        <v>240.28361725873961</v>
      </c>
      <c r="O135" s="6">
        <f>Table134[[#This Row],[Deal Value ($)]]/Table134[[#This Row],[Total Calls]]</f>
        <v>33.588032520038873</v>
      </c>
      <c r="P135" t="str">
        <f>IF(Table134[[#This Row],[Conversion Rate]]&gt;=20%,"High","Low")</f>
        <v>Low</v>
      </c>
    </row>
    <row r="136" spans="1:16" x14ac:dyDescent="0.25">
      <c r="A136" s="2">
        <v>45373</v>
      </c>
      <c r="B136" s="2" t="str">
        <f>TEXT(Table134[[#This Row],[Date]],"MMM")</f>
        <v>Mar</v>
      </c>
      <c r="C136">
        <v>57</v>
      </c>
      <c r="D136">
        <v>31</v>
      </c>
      <c r="E136" s="3">
        <v>346.31255214542949</v>
      </c>
      <c r="F136">
        <v>37</v>
      </c>
      <c r="G136" s="6">
        <v>2396.4104776662411</v>
      </c>
      <c r="H136" t="s">
        <v>10</v>
      </c>
      <c r="I136" t="s">
        <v>36</v>
      </c>
      <c r="J136" t="str">
        <f>Table134[[#This Row],[First Name]]&amp;" "&amp;Table134[[#This Row],[Last Name]]</f>
        <v>Alice Smith</v>
      </c>
      <c r="K136" t="s">
        <v>45</v>
      </c>
      <c r="L136" s="5">
        <f>Table134[[#This Row],[Calls Reached]]/Table134[[#This Row],[Total Calls]]</f>
        <v>0.54385964912280704</v>
      </c>
      <c r="M136" s="5">
        <f>Table134[[#This Row],[Deals Closed]]/Table134[[#This Row],[Calls Reached]]</f>
        <v>1.1935483870967742</v>
      </c>
      <c r="N136" s="6">
        <f>IFERROR(Table134[[#This Row],[Deal Value ($)]]/Table134[[#This Row],[Deals Closed]],0)</f>
        <v>64.767850747736247</v>
      </c>
      <c r="O136" s="6">
        <f>Table134[[#This Row],[Deal Value ($)]]/Table134[[#This Row],[Total Calls]]</f>
        <v>42.042289081863878</v>
      </c>
      <c r="P136" t="str">
        <f>IF(Table134[[#This Row],[Conversion Rate]]&gt;=20%,"High","Low")</f>
        <v>High</v>
      </c>
    </row>
    <row r="137" spans="1:16" x14ac:dyDescent="0.25">
      <c r="A137" s="2">
        <v>45376</v>
      </c>
      <c r="B137" s="2" t="str">
        <f>TEXT(Table134[[#This Row],[Date]],"MMM")</f>
        <v>Mar</v>
      </c>
      <c r="C137">
        <v>96</v>
      </c>
      <c r="D137">
        <v>39</v>
      </c>
      <c r="E137" s="3">
        <v>105.67682238370951</v>
      </c>
      <c r="F137">
        <v>36</v>
      </c>
      <c r="G137" s="6">
        <v>4517.0226998463868</v>
      </c>
      <c r="H137" t="s">
        <v>18</v>
      </c>
      <c r="I137" t="s">
        <v>42</v>
      </c>
      <c r="J137" t="str">
        <f>Table134[[#This Row],[First Name]]&amp;" "&amp;Table134[[#This Row],[Last Name]]</f>
        <v>Chris Martinez</v>
      </c>
      <c r="K137" t="s">
        <v>46</v>
      </c>
      <c r="L137" s="5">
        <f>Table134[[#This Row],[Calls Reached]]/Table134[[#This Row],[Total Calls]]</f>
        <v>0.40625</v>
      </c>
      <c r="M137" s="5">
        <f>Table134[[#This Row],[Deals Closed]]/Table134[[#This Row],[Calls Reached]]</f>
        <v>0.92307692307692313</v>
      </c>
      <c r="N137" s="6">
        <f>IFERROR(Table134[[#This Row],[Deal Value ($)]]/Table134[[#This Row],[Deals Closed]],0)</f>
        <v>125.47285277351074</v>
      </c>
      <c r="O137" s="6">
        <f>Table134[[#This Row],[Deal Value ($)]]/Table134[[#This Row],[Total Calls]]</f>
        <v>47.052319790066527</v>
      </c>
      <c r="P137" t="str">
        <f>IF(Table134[[#This Row],[Conversion Rate]]&gt;=20%,"High","Low")</f>
        <v>High</v>
      </c>
    </row>
    <row r="138" spans="1:16" x14ac:dyDescent="0.25">
      <c r="A138" s="2">
        <v>45377</v>
      </c>
      <c r="B138" s="2" t="str">
        <f>TEXT(Table134[[#This Row],[Date]],"MMM")</f>
        <v>Mar</v>
      </c>
      <c r="C138">
        <v>84</v>
      </c>
      <c r="D138">
        <v>47</v>
      </c>
      <c r="E138" s="3">
        <v>334.33032099706321</v>
      </c>
      <c r="F138">
        <v>10</v>
      </c>
      <c r="G138" s="6">
        <v>4178.4960278229846</v>
      </c>
      <c r="H138" t="s">
        <v>9</v>
      </c>
      <c r="I138" t="s">
        <v>40</v>
      </c>
      <c r="J138" t="str">
        <f>Table134[[#This Row],[First Name]]&amp;" "&amp;Table134[[#This Row],[Last Name]]</f>
        <v>Evan Davis</v>
      </c>
      <c r="K138" t="s">
        <v>46</v>
      </c>
      <c r="L138" s="5">
        <f>Table134[[#This Row],[Calls Reached]]/Table134[[#This Row],[Total Calls]]</f>
        <v>0.55952380952380953</v>
      </c>
      <c r="M138" s="5">
        <f>Table134[[#This Row],[Deals Closed]]/Table134[[#This Row],[Calls Reached]]</f>
        <v>0.21276595744680851</v>
      </c>
      <c r="N138" s="6">
        <f>IFERROR(Table134[[#This Row],[Deal Value ($)]]/Table134[[#This Row],[Deals Closed]],0)</f>
        <v>417.84960278229846</v>
      </c>
      <c r="O138" s="6">
        <f>Table134[[#This Row],[Deal Value ($)]]/Table134[[#This Row],[Total Calls]]</f>
        <v>49.744000331226005</v>
      </c>
      <c r="P138" t="str">
        <f>IF(Table134[[#This Row],[Conversion Rate]]&gt;=20%,"High","Low")</f>
        <v>High</v>
      </c>
    </row>
    <row r="139" spans="1:16" x14ac:dyDescent="0.25">
      <c r="A139" s="2">
        <v>45378</v>
      </c>
      <c r="B139" s="2" t="str">
        <f>TEXT(Table134[[#This Row],[Date]],"MMM")</f>
        <v>Mar</v>
      </c>
      <c r="C139">
        <v>63</v>
      </c>
      <c r="D139">
        <v>60</v>
      </c>
      <c r="E139" s="3">
        <v>128.15163784091871</v>
      </c>
      <c r="F139">
        <v>35</v>
      </c>
      <c r="G139" s="6">
        <v>2038.178082640442</v>
      </c>
      <c r="H139" t="s">
        <v>10</v>
      </c>
      <c r="I139" t="s">
        <v>36</v>
      </c>
      <c r="J139" t="str">
        <f>Table134[[#This Row],[First Name]]&amp;" "&amp;Table134[[#This Row],[Last Name]]</f>
        <v>Alice Smith</v>
      </c>
      <c r="K139" t="s">
        <v>45</v>
      </c>
      <c r="L139" s="5">
        <f>Table134[[#This Row],[Calls Reached]]/Table134[[#This Row],[Total Calls]]</f>
        <v>0.95238095238095233</v>
      </c>
      <c r="M139" s="5">
        <f>Table134[[#This Row],[Deals Closed]]/Table134[[#This Row],[Calls Reached]]</f>
        <v>0.58333333333333337</v>
      </c>
      <c r="N139" s="6">
        <f>IFERROR(Table134[[#This Row],[Deal Value ($)]]/Table134[[#This Row],[Deals Closed]],0)</f>
        <v>58.233659504012628</v>
      </c>
      <c r="O139" s="6">
        <f>Table134[[#This Row],[Deal Value ($)]]/Table134[[#This Row],[Total Calls]]</f>
        <v>32.352033057784794</v>
      </c>
      <c r="P139" t="str">
        <f>IF(Table134[[#This Row],[Conversion Rate]]&gt;=20%,"High","Low")</f>
        <v>High</v>
      </c>
    </row>
    <row r="140" spans="1:16" x14ac:dyDescent="0.25">
      <c r="A140" s="2">
        <v>45379</v>
      </c>
      <c r="B140" s="2" t="str">
        <f>TEXT(Table134[[#This Row],[Date]],"MMM")</f>
        <v>Mar</v>
      </c>
      <c r="C140">
        <v>66</v>
      </c>
      <c r="D140">
        <v>63</v>
      </c>
      <c r="E140" s="3">
        <v>159.408958134036</v>
      </c>
      <c r="F140">
        <v>12</v>
      </c>
      <c r="G140" s="6">
        <v>1667.4054504408159</v>
      </c>
      <c r="H140" t="s">
        <v>49</v>
      </c>
      <c r="I140" t="s">
        <v>44</v>
      </c>
      <c r="J140" t="str">
        <f>Table134[[#This Row],[First Name]]&amp;" "&amp;Table134[[#This Row],[Last Name]]</f>
        <v>Jane Brown</v>
      </c>
      <c r="K140" t="s">
        <v>45</v>
      </c>
      <c r="L140" s="5">
        <f>Table134[[#This Row],[Calls Reached]]/Table134[[#This Row],[Total Calls]]</f>
        <v>0.95454545454545459</v>
      </c>
      <c r="M140" s="5">
        <f>Table134[[#This Row],[Deals Closed]]/Table134[[#This Row],[Calls Reached]]</f>
        <v>0.19047619047619047</v>
      </c>
      <c r="N140" s="6">
        <f>IFERROR(Table134[[#This Row],[Deal Value ($)]]/Table134[[#This Row],[Deals Closed]],0)</f>
        <v>138.95045420340134</v>
      </c>
      <c r="O140" s="6">
        <f>Table134[[#This Row],[Deal Value ($)]]/Table134[[#This Row],[Total Calls]]</f>
        <v>25.26371894607297</v>
      </c>
      <c r="P140" t="str">
        <f>IF(Table134[[#This Row],[Conversion Rate]]&gt;=20%,"High","Low")</f>
        <v>Low</v>
      </c>
    </row>
    <row r="141" spans="1:16" x14ac:dyDescent="0.25">
      <c r="A141" s="2">
        <v>45380</v>
      </c>
      <c r="B141" s="2" t="str">
        <f>TEXT(Table134[[#This Row],[Date]],"MMM")</f>
        <v>Mar</v>
      </c>
      <c r="C141">
        <v>85</v>
      </c>
      <c r="D141">
        <v>17</v>
      </c>
      <c r="E141" s="3">
        <v>158.76312338855249</v>
      </c>
      <c r="F141">
        <v>2</v>
      </c>
      <c r="G141" s="6">
        <v>2208.6158367527009</v>
      </c>
      <c r="H141" t="s">
        <v>49</v>
      </c>
      <c r="I141" t="s">
        <v>38</v>
      </c>
      <c r="J141" t="str">
        <f>Table134[[#This Row],[First Name]]&amp;" "&amp;Table134[[#This Row],[Last Name]]</f>
        <v>Jane Rodriguez</v>
      </c>
      <c r="K141" t="s">
        <v>45</v>
      </c>
      <c r="L141" s="5">
        <f>Table134[[#This Row],[Calls Reached]]/Table134[[#This Row],[Total Calls]]</f>
        <v>0.2</v>
      </c>
      <c r="M141" s="5">
        <f>Table134[[#This Row],[Deals Closed]]/Table134[[#This Row],[Calls Reached]]</f>
        <v>0.11764705882352941</v>
      </c>
      <c r="N141" s="6">
        <f>IFERROR(Table134[[#This Row],[Deal Value ($)]]/Table134[[#This Row],[Deals Closed]],0)</f>
        <v>1104.3079183763505</v>
      </c>
      <c r="O141" s="6">
        <f>Table134[[#This Row],[Deal Value ($)]]/Table134[[#This Row],[Total Calls]]</f>
        <v>25.983715726502364</v>
      </c>
      <c r="P141" t="str">
        <f>IF(Table134[[#This Row],[Conversion Rate]]&gt;=20%,"High","Low")</f>
        <v>Low</v>
      </c>
    </row>
    <row r="142" spans="1:16" x14ac:dyDescent="0.25">
      <c r="A142" s="2">
        <v>45383</v>
      </c>
      <c r="B142" s="2" t="str">
        <f>TEXT(Table134[[#This Row],[Date]],"MMM")</f>
        <v>Apr</v>
      </c>
      <c r="C142">
        <v>83</v>
      </c>
      <c r="D142">
        <v>11</v>
      </c>
      <c r="E142" s="3">
        <v>365.12</v>
      </c>
      <c r="F142">
        <v>5</v>
      </c>
      <c r="G142" s="6">
        <v>3682.69</v>
      </c>
      <c r="H142" t="s">
        <v>10</v>
      </c>
      <c r="I142" t="s">
        <v>36</v>
      </c>
      <c r="J142" t="str">
        <f>Table134[[#This Row],[First Name]]&amp;" "&amp;Table134[[#This Row],[Last Name]]</f>
        <v>Alice Smith</v>
      </c>
      <c r="K142" t="s">
        <v>45</v>
      </c>
      <c r="L142" s="5">
        <f>Table134[[#This Row],[Calls Reached]]/Table134[[#This Row],[Total Calls]]</f>
        <v>0.13253012048192772</v>
      </c>
      <c r="M142" s="5">
        <f>Table134[[#This Row],[Deals Closed]]/Table134[[#This Row],[Calls Reached]]</f>
        <v>0.45454545454545453</v>
      </c>
      <c r="N142" s="6">
        <f>IFERROR(Table134[[#This Row],[Deal Value ($)]]/Table134[[#This Row],[Deals Closed]],0)</f>
        <v>736.53800000000001</v>
      </c>
      <c r="O142" s="6">
        <f>Table134[[#This Row],[Deal Value ($)]]/Table134[[#This Row],[Total Calls]]</f>
        <v>44.369759036144579</v>
      </c>
      <c r="P142" t="str">
        <f>IF(Table134[[#This Row],[Conversion Rate]]&gt;=20%,"High","Low")</f>
        <v>High</v>
      </c>
    </row>
    <row r="143" spans="1:16" x14ac:dyDescent="0.25">
      <c r="A143" s="2">
        <v>45383</v>
      </c>
      <c r="B143" s="2" t="str">
        <f>TEXT(Table134[[#This Row],[Date]],"MMM")</f>
        <v>Apr</v>
      </c>
      <c r="C143">
        <v>41</v>
      </c>
      <c r="D143">
        <v>14</v>
      </c>
      <c r="E143" s="3">
        <v>416.88</v>
      </c>
      <c r="F143">
        <v>2</v>
      </c>
      <c r="G143" s="6">
        <v>3638.83</v>
      </c>
      <c r="H143" t="s">
        <v>11</v>
      </c>
      <c r="I143" t="s">
        <v>41</v>
      </c>
      <c r="J143" t="str">
        <f>Table134[[#This Row],[First Name]]&amp;" "&amp;Table134[[#This Row],[Last Name]]</f>
        <v>Diana Miller</v>
      </c>
      <c r="K143" t="s">
        <v>46</v>
      </c>
      <c r="L143" s="5">
        <f>Table134[[#This Row],[Calls Reached]]/Table134[[#This Row],[Total Calls]]</f>
        <v>0.34146341463414637</v>
      </c>
      <c r="M143" s="5">
        <f>Table134[[#This Row],[Deals Closed]]/Table134[[#This Row],[Calls Reached]]</f>
        <v>0.14285714285714285</v>
      </c>
      <c r="N143" s="6">
        <f>IFERROR(Table134[[#This Row],[Deal Value ($)]]/Table134[[#This Row],[Deals Closed]],0)</f>
        <v>1819.415</v>
      </c>
      <c r="O143" s="6">
        <f>Table134[[#This Row],[Deal Value ($)]]/Table134[[#This Row],[Total Calls]]</f>
        <v>88.751951219512193</v>
      </c>
      <c r="P143" t="str">
        <f>IF(Table134[[#This Row],[Conversion Rate]]&gt;=20%,"High","Low")</f>
        <v>Low</v>
      </c>
    </row>
    <row r="144" spans="1:16" x14ac:dyDescent="0.25">
      <c r="A144" s="2">
        <v>45383</v>
      </c>
      <c r="B144" s="2" t="str">
        <f>TEXT(Table134[[#This Row],[Date]],"MMM")</f>
        <v>Apr</v>
      </c>
      <c r="C144">
        <v>17</v>
      </c>
      <c r="D144">
        <v>7</v>
      </c>
      <c r="E144" s="3">
        <v>81.14</v>
      </c>
      <c r="F144">
        <v>3</v>
      </c>
      <c r="G144" s="6">
        <v>1419.04</v>
      </c>
      <c r="H144" t="s">
        <v>12</v>
      </c>
      <c r="I144" t="s">
        <v>36</v>
      </c>
      <c r="J144" t="str">
        <f>Table134[[#This Row],[First Name]]&amp;" "&amp;Table134[[#This Row],[Last Name]]</f>
        <v>Jake Smith</v>
      </c>
      <c r="K144" t="s">
        <v>45</v>
      </c>
      <c r="L144" s="5">
        <f>Table134[[#This Row],[Calls Reached]]/Table134[[#This Row],[Total Calls]]</f>
        <v>0.41176470588235292</v>
      </c>
      <c r="M144" s="5">
        <f>Table134[[#This Row],[Deals Closed]]/Table134[[#This Row],[Calls Reached]]</f>
        <v>0.42857142857142855</v>
      </c>
      <c r="N144" s="6">
        <f>IFERROR(Table134[[#This Row],[Deal Value ($)]]/Table134[[#This Row],[Deals Closed]],0)</f>
        <v>473.01333333333332</v>
      </c>
      <c r="O144" s="6">
        <f>Table134[[#This Row],[Deal Value ($)]]/Table134[[#This Row],[Total Calls]]</f>
        <v>83.472941176470584</v>
      </c>
      <c r="P144" t="str">
        <f>IF(Table134[[#This Row],[Conversion Rate]]&gt;=20%,"High","Low")</f>
        <v>High</v>
      </c>
    </row>
    <row r="145" spans="1:16" x14ac:dyDescent="0.25">
      <c r="A145" s="2">
        <v>45383</v>
      </c>
      <c r="B145" s="2" t="str">
        <f>TEXT(Table134[[#This Row],[Date]],"MMM")</f>
        <v>Apr</v>
      </c>
      <c r="C145">
        <v>76</v>
      </c>
      <c r="D145">
        <v>16</v>
      </c>
      <c r="E145" s="3">
        <v>449.04</v>
      </c>
      <c r="F145">
        <v>4</v>
      </c>
      <c r="G145" s="6">
        <v>1019.97</v>
      </c>
      <c r="H145" t="s">
        <v>13</v>
      </c>
      <c r="I145" t="s">
        <v>41</v>
      </c>
      <c r="J145" t="str">
        <f>Table134[[#This Row],[First Name]]&amp;" "&amp;Table134[[#This Row],[Last Name]]</f>
        <v>Liam Miller</v>
      </c>
      <c r="K145" t="s">
        <v>45</v>
      </c>
      <c r="L145" s="5">
        <f>Table134[[#This Row],[Calls Reached]]/Table134[[#This Row],[Total Calls]]</f>
        <v>0.21052631578947367</v>
      </c>
      <c r="M145" s="5">
        <f>Table134[[#This Row],[Deals Closed]]/Table134[[#This Row],[Calls Reached]]</f>
        <v>0.25</v>
      </c>
      <c r="N145" s="6">
        <f>IFERROR(Table134[[#This Row],[Deal Value ($)]]/Table134[[#This Row],[Deals Closed]],0)</f>
        <v>254.99250000000001</v>
      </c>
      <c r="O145" s="6">
        <f>Table134[[#This Row],[Deal Value ($)]]/Table134[[#This Row],[Total Calls]]</f>
        <v>13.420657894736843</v>
      </c>
      <c r="P145" t="str">
        <f>IF(Table134[[#This Row],[Conversion Rate]]&gt;=20%,"High","Low")</f>
        <v>High</v>
      </c>
    </row>
    <row r="146" spans="1:16" x14ac:dyDescent="0.25">
      <c r="A146" s="2">
        <v>45383</v>
      </c>
      <c r="B146" s="2" t="str">
        <f>TEXT(Table134[[#This Row],[Date]],"MMM")</f>
        <v>Apr</v>
      </c>
      <c r="C146">
        <v>72</v>
      </c>
      <c r="D146">
        <v>6</v>
      </c>
      <c r="E146" s="3">
        <v>508.55</v>
      </c>
      <c r="F146">
        <v>3</v>
      </c>
      <c r="G146" s="6">
        <v>3633.75</v>
      </c>
      <c r="H146" t="s">
        <v>14</v>
      </c>
      <c r="I146" t="s">
        <v>36</v>
      </c>
      <c r="J146" t="str">
        <f>Table134[[#This Row],[First Name]]&amp;" "&amp;Table134[[#This Row],[Last Name]]</f>
        <v>Bob Smith</v>
      </c>
      <c r="K146" t="s">
        <v>46</v>
      </c>
      <c r="L146" s="5">
        <f>Table134[[#This Row],[Calls Reached]]/Table134[[#This Row],[Total Calls]]</f>
        <v>8.3333333333333329E-2</v>
      </c>
      <c r="M146" s="5">
        <f>Table134[[#This Row],[Deals Closed]]/Table134[[#This Row],[Calls Reached]]</f>
        <v>0.5</v>
      </c>
      <c r="N146" s="6">
        <f>IFERROR(Table134[[#This Row],[Deal Value ($)]]/Table134[[#This Row],[Deals Closed]],0)</f>
        <v>1211.25</v>
      </c>
      <c r="O146" s="6">
        <f>Table134[[#This Row],[Deal Value ($)]]/Table134[[#This Row],[Total Calls]]</f>
        <v>50.46875</v>
      </c>
      <c r="P146" t="str">
        <f>IF(Table134[[#This Row],[Conversion Rate]]&gt;=20%,"High","Low")</f>
        <v>High</v>
      </c>
    </row>
    <row r="147" spans="1:16" x14ac:dyDescent="0.25">
      <c r="A147" s="2">
        <v>45383</v>
      </c>
      <c r="B147" s="2" t="str">
        <f>TEXT(Table134[[#This Row],[Date]],"MMM")</f>
        <v>Apr</v>
      </c>
      <c r="C147">
        <v>72</v>
      </c>
      <c r="D147">
        <v>18</v>
      </c>
      <c r="E147" s="3">
        <v>299.08999999999997</v>
      </c>
      <c r="F147">
        <v>2</v>
      </c>
      <c r="G147" s="6">
        <v>2378.29</v>
      </c>
      <c r="H147" t="s">
        <v>15</v>
      </c>
      <c r="I147" t="s">
        <v>41</v>
      </c>
      <c r="J147" t="str">
        <f>Table134[[#This Row],[First Name]]&amp;" "&amp;Table134[[#This Row],[Last Name]]</f>
        <v>Rick Miller</v>
      </c>
      <c r="K147" t="s">
        <v>46</v>
      </c>
      <c r="L147" s="5">
        <f>Table134[[#This Row],[Calls Reached]]/Table134[[#This Row],[Total Calls]]</f>
        <v>0.25</v>
      </c>
      <c r="M147" s="5">
        <f>Table134[[#This Row],[Deals Closed]]/Table134[[#This Row],[Calls Reached]]</f>
        <v>0.1111111111111111</v>
      </c>
      <c r="N147" s="6">
        <f>IFERROR(Table134[[#This Row],[Deal Value ($)]]/Table134[[#This Row],[Deals Closed]],0)</f>
        <v>1189.145</v>
      </c>
      <c r="O147" s="6">
        <f>Table134[[#This Row],[Deal Value ($)]]/Table134[[#This Row],[Total Calls]]</f>
        <v>33.031805555555557</v>
      </c>
      <c r="P147" t="str">
        <f>IF(Table134[[#This Row],[Conversion Rate]]&gt;=20%,"High","Low")</f>
        <v>Low</v>
      </c>
    </row>
    <row r="148" spans="1:16" x14ac:dyDescent="0.25">
      <c r="A148" s="2">
        <v>45383</v>
      </c>
      <c r="B148" s="2" t="str">
        <f>TEXT(Table134[[#This Row],[Date]],"MMM")</f>
        <v>Apr</v>
      </c>
      <c r="C148">
        <v>91</v>
      </c>
      <c r="D148">
        <v>5</v>
      </c>
      <c r="E148" s="3">
        <v>605.11</v>
      </c>
      <c r="F148">
        <v>2</v>
      </c>
      <c r="G148" s="6">
        <v>3499.88</v>
      </c>
      <c r="H148" t="s">
        <v>30</v>
      </c>
      <c r="I148" t="s">
        <v>42</v>
      </c>
      <c r="J148" t="str">
        <f>Table134[[#This Row],[First Name]]&amp;" "&amp;Table134[[#This Row],[Last Name]]</f>
        <v>Emma Martinez</v>
      </c>
      <c r="K148" t="s">
        <v>46</v>
      </c>
      <c r="L148" s="5">
        <f>Table134[[#This Row],[Calls Reached]]/Table134[[#This Row],[Total Calls]]</f>
        <v>5.4945054945054944E-2</v>
      </c>
      <c r="M148" s="5">
        <f>Table134[[#This Row],[Deals Closed]]/Table134[[#This Row],[Calls Reached]]</f>
        <v>0.4</v>
      </c>
      <c r="N148" s="6">
        <f>IFERROR(Table134[[#This Row],[Deal Value ($)]]/Table134[[#This Row],[Deals Closed]],0)</f>
        <v>1749.94</v>
      </c>
      <c r="O148" s="6">
        <f>Table134[[#This Row],[Deal Value ($)]]/Table134[[#This Row],[Total Calls]]</f>
        <v>38.460219780219781</v>
      </c>
      <c r="P148" t="str">
        <f>IF(Table134[[#This Row],[Conversion Rate]]&gt;=20%,"High","Low")</f>
        <v>High</v>
      </c>
    </row>
    <row r="149" spans="1:16" x14ac:dyDescent="0.25">
      <c r="A149" s="2">
        <v>45383</v>
      </c>
      <c r="B149" s="2" t="str">
        <f>TEXT(Table134[[#This Row],[Date]],"MMM")</f>
        <v>Apr</v>
      </c>
      <c r="C149">
        <v>29</v>
      </c>
      <c r="D149">
        <v>16</v>
      </c>
      <c r="E149" s="3">
        <v>412.07</v>
      </c>
      <c r="F149">
        <v>10</v>
      </c>
      <c r="G149" s="6">
        <v>1075.94</v>
      </c>
      <c r="H149" t="s">
        <v>17</v>
      </c>
      <c r="I149" t="s">
        <v>42</v>
      </c>
      <c r="J149" t="str">
        <f>Table134[[#This Row],[First Name]]&amp;" "&amp;Table134[[#This Row],[Last Name]]</f>
        <v>Molly Martinez</v>
      </c>
      <c r="K149" t="s">
        <v>45</v>
      </c>
      <c r="L149" s="5">
        <f>Table134[[#This Row],[Calls Reached]]/Table134[[#This Row],[Total Calls]]</f>
        <v>0.55172413793103448</v>
      </c>
      <c r="M149" s="5">
        <f>Table134[[#This Row],[Deals Closed]]/Table134[[#This Row],[Calls Reached]]</f>
        <v>0.625</v>
      </c>
      <c r="N149" s="6">
        <f>IFERROR(Table134[[#This Row],[Deal Value ($)]]/Table134[[#This Row],[Deals Closed]],0)</f>
        <v>107.59400000000001</v>
      </c>
      <c r="O149" s="6">
        <f>Table134[[#This Row],[Deal Value ($)]]/Table134[[#This Row],[Total Calls]]</f>
        <v>37.101379310344832</v>
      </c>
      <c r="P149" t="str">
        <f>IF(Table134[[#This Row],[Conversion Rate]]&gt;=20%,"High","Low")</f>
        <v>High</v>
      </c>
    </row>
    <row r="150" spans="1:16" x14ac:dyDescent="0.25">
      <c r="A150" s="2">
        <v>45383</v>
      </c>
      <c r="B150" s="2" t="str">
        <f>TEXT(Table134[[#This Row],[Date]],"MMM")</f>
        <v>Apr</v>
      </c>
      <c r="C150">
        <v>69</v>
      </c>
      <c r="D150">
        <v>17</v>
      </c>
      <c r="E150" s="3">
        <v>342.81</v>
      </c>
      <c r="F150">
        <v>6</v>
      </c>
      <c r="G150" s="6">
        <v>3728.2</v>
      </c>
      <c r="H150" t="s">
        <v>9</v>
      </c>
      <c r="I150" t="s">
        <v>39</v>
      </c>
      <c r="J150" t="str">
        <f>Table134[[#This Row],[First Name]]&amp;" "&amp;Table134[[#This Row],[Last Name]]</f>
        <v>Evan Jones</v>
      </c>
      <c r="K150" t="s">
        <v>45</v>
      </c>
      <c r="L150" s="5">
        <f>Table134[[#This Row],[Calls Reached]]/Table134[[#This Row],[Total Calls]]</f>
        <v>0.24637681159420291</v>
      </c>
      <c r="M150" s="5">
        <f>Table134[[#This Row],[Deals Closed]]/Table134[[#This Row],[Calls Reached]]</f>
        <v>0.35294117647058826</v>
      </c>
      <c r="N150" s="6">
        <f>IFERROR(Table134[[#This Row],[Deal Value ($)]]/Table134[[#This Row],[Deals Closed]],0)</f>
        <v>621.36666666666667</v>
      </c>
      <c r="O150" s="6">
        <f>Table134[[#This Row],[Deal Value ($)]]/Table134[[#This Row],[Total Calls]]</f>
        <v>54.031884057971013</v>
      </c>
      <c r="P150" t="str">
        <f>IF(Table134[[#This Row],[Conversion Rate]]&gt;=20%,"High","Low")</f>
        <v>High</v>
      </c>
    </row>
    <row r="151" spans="1:16" x14ac:dyDescent="0.25">
      <c r="A151" s="2">
        <v>45383</v>
      </c>
      <c r="B151" s="2" t="str">
        <f>TEXT(Table134[[#This Row],[Date]],"MMM")</f>
        <v>Apr</v>
      </c>
      <c r="C151">
        <v>64</v>
      </c>
      <c r="D151">
        <v>13</v>
      </c>
      <c r="E151" s="3">
        <v>317.58</v>
      </c>
      <c r="F151">
        <v>8</v>
      </c>
      <c r="G151" s="6">
        <v>1088.22</v>
      </c>
      <c r="H151" t="s">
        <v>18</v>
      </c>
      <c r="I151" t="s">
        <v>41</v>
      </c>
      <c r="J151" t="str">
        <f>Table134[[#This Row],[First Name]]&amp;" "&amp;Table134[[#This Row],[Last Name]]</f>
        <v>Chris Miller</v>
      </c>
      <c r="K151" t="s">
        <v>45</v>
      </c>
      <c r="L151" s="5">
        <f>Table134[[#This Row],[Calls Reached]]/Table134[[#This Row],[Total Calls]]</f>
        <v>0.203125</v>
      </c>
      <c r="M151" s="5">
        <f>Table134[[#This Row],[Deals Closed]]/Table134[[#This Row],[Calls Reached]]</f>
        <v>0.61538461538461542</v>
      </c>
      <c r="N151" s="6">
        <f>IFERROR(Table134[[#This Row],[Deal Value ($)]]/Table134[[#This Row],[Deals Closed]],0)</f>
        <v>136.0275</v>
      </c>
      <c r="O151" s="6">
        <f>Table134[[#This Row],[Deal Value ($)]]/Table134[[#This Row],[Total Calls]]</f>
        <v>17.0034375</v>
      </c>
      <c r="P151" t="str">
        <f>IF(Table134[[#This Row],[Conversion Rate]]&gt;=20%,"High","Low")</f>
        <v>High</v>
      </c>
    </row>
    <row r="152" spans="1:16" x14ac:dyDescent="0.25">
      <c r="A152" s="2">
        <v>45383</v>
      </c>
      <c r="B152" s="2" t="str">
        <f>TEXT(Table134[[#This Row],[Date]],"MMM")</f>
        <v>Apr</v>
      </c>
      <c r="C152">
        <v>16</v>
      </c>
      <c r="D152">
        <v>7</v>
      </c>
      <c r="E152" s="3">
        <v>181.58</v>
      </c>
      <c r="F152">
        <v>6</v>
      </c>
      <c r="G152" s="6">
        <v>868.4</v>
      </c>
      <c r="H152" t="s">
        <v>19</v>
      </c>
      <c r="I152" t="s">
        <v>39</v>
      </c>
      <c r="J152" t="str">
        <f>Table134[[#This Row],[First Name]]&amp;" "&amp;Table134[[#This Row],[Last Name]]</f>
        <v>James Jones</v>
      </c>
      <c r="K152" t="s">
        <v>46</v>
      </c>
      <c r="L152" s="5">
        <f>Table134[[#This Row],[Calls Reached]]/Table134[[#This Row],[Total Calls]]</f>
        <v>0.4375</v>
      </c>
      <c r="M152" s="5">
        <f>Table134[[#This Row],[Deals Closed]]/Table134[[#This Row],[Calls Reached]]</f>
        <v>0.8571428571428571</v>
      </c>
      <c r="N152" s="6">
        <f>IFERROR(Table134[[#This Row],[Deal Value ($)]]/Table134[[#This Row],[Deals Closed]],0)</f>
        <v>144.73333333333332</v>
      </c>
      <c r="O152" s="6">
        <f>Table134[[#This Row],[Deal Value ($)]]/Table134[[#This Row],[Total Calls]]</f>
        <v>54.274999999999999</v>
      </c>
      <c r="P152" t="str">
        <f>IF(Table134[[#This Row],[Conversion Rate]]&gt;=20%,"High","Low")</f>
        <v>High</v>
      </c>
    </row>
    <row r="153" spans="1:16" x14ac:dyDescent="0.25">
      <c r="A153" s="2">
        <v>45383</v>
      </c>
      <c r="B153" s="2" t="str">
        <f>TEXT(Table134[[#This Row],[Date]],"MMM")</f>
        <v>Apr</v>
      </c>
      <c r="C153">
        <v>37</v>
      </c>
      <c r="D153">
        <v>7</v>
      </c>
      <c r="E153" s="3">
        <v>470.85</v>
      </c>
      <c r="F153">
        <v>7</v>
      </c>
      <c r="G153" s="6">
        <v>3483.6</v>
      </c>
      <c r="H153" t="s">
        <v>20</v>
      </c>
      <c r="I153" t="s">
        <v>40</v>
      </c>
      <c r="J153" t="str">
        <f>Table134[[#This Row],[First Name]]&amp;" "&amp;Table134[[#This Row],[Last Name]]</f>
        <v>Richard Davis</v>
      </c>
      <c r="K153" t="s">
        <v>45</v>
      </c>
      <c r="L153" s="5">
        <f>Table134[[#This Row],[Calls Reached]]/Table134[[#This Row],[Total Calls]]</f>
        <v>0.1891891891891892</v>
      </c>
      <c r="M153" s="5">
        <f>Table134[[#This Row],[Deals Closed]]/Table134[[#This Row],[Calls Reached]]</f>
        <v>1</v>
      </c>
      <c r="N153" s="6">
        <f>IFERROR(Table134[[#This Row],[Deal Value ($)]]/Table134[[#This Row],[Deals Closed]],0)</f>
        <v>497.65714285714284</v>
      </c>
      <c r="O153" s="6">
        <f>Table134[[#This Row],[Deal Value ($)]]/Table134[[#This Row],[Total Calls]]</f>
        <v>94.151351351351352</v>
      </c>
      <c r="P153" t="str">
        <f>IF(Table134[[#This Row],[Conversion Rate]]&gt;=20%,"High","Low")</f>
        <v>High</v>
      </c>
    </row>
    <row r="154" spans="1:16" x14ac:dyDescent="0.25">
      <c r="A154" s="2">
        <v>45383</v>
      </c>
      <c r="B154" s="2" t="str">
        <f>TEXT(Table134[[#This Row],[Date]],"MMM")</f>
        <v>Apr</v>
      </c>
      <c r="C154">
        <v>81</v>
      </c>
      <c r="D154">
        <v>16</v>
      </c>
      <c r="E154" s="3">
        <v>584.29999999999995</v>
      </c>
      <c r="F154">
        <v>3</v>
      </c>
      <c r="G154" s="6">
        <v>377.45</v>
      </c>
      <c r="H154" t="s">
        <v>21</v>
      </c>
      <c r="I154" t="s">
        <v>38</v>
      </c>
      <c r="J154" t="str">
        <f>Table134[[#This Row],[First Name]]&amp;" "&amp;Table134[[#This Row],[Last Name]]</f>
        <v>Paul Rodriguez</v>
      </c>
      <c r="K154" t="s">
        <v>46</v>
      </c>
      <c r="L154" s="5">
        <f>Table134[[#This Row],[Calls Reached]]/Table134[[#This Row],[Total Calls]]</f>
        <v>0.19753086419753085</v>
      </c>
      <c r="M154" s="5">
        <f>Table134[[#This Row],[Deals Closed]]/Table134[[#This Row],[Calls Reached]]</f>
        <v>0.1875</v>
      </c>
      <c r="N154" s="6">
        <f>IFERROR(Table134[[#This Row],[Deal Value ($)]]/Table134[[#This Row],[Deals Closed]],0)</f>
        <v>125.81666666666666</v>
      </c>
      <c r="O154" s="6">
        <f>Table134[[#This Row],[Deal Value ($)]]/Table134[[#This Row],[Total Calls]]</f>
        <v>4.6598765432098768</v>
      </c>
      <c r="P154" t="str">
        <f>IF(Table134[[#This Row],[Conversion Rate]]&gt;=20%,"High","Low")</f>
        <v>Low</v>
      </c>
    </row>
    <row r="155" spans="1:16" x14ac:dyDescent="0.25">
      <c r="A155" s="2">
        <v>45383</v>
      </c>
      <c r="B155" s="2" t="str">
        <f>TEXT(Table134[[#This Row],[Date]],"MMM")</f>
        <v>Apr</v>
      </c>
      <c r="C155">
        <v>44</v>
      </c>
      <c r="D155">
        <v>6</v>
      </c>
      <c r="E155" s="3">
        <v>246.21</v>
      </c>
      <c r="F155">
        <v>5</v>
      </c>
      <c r="G155" s="6">
        <v>4155.8</v>
      </c>
      <c r="H155" t="s">
        <v>16</v>
      </c>
      <c r="I155" t="s">
        <v>43</v>
      </c>
      <c r="J155" t="str">
        <f>Table134[[#This Row],[First Name]]&amp;" "&amp;Table134[[#This Row],[Last Name]]</f>
        <v>Charlie Williams</v>
      </c>
      <c r="K155" t="s">
        <v>46</v>
      </c>
      <c r="L155" s="5">
        <f>Table134[[#This Row],[Calls Reached]]/Table134[[#This Row],[Total Calls]]</f>
        <v>0.13636363636363635</v>
      </c>
      <c r="M155" s="5">
        <f>Table134[[#This Row],[Deals Closed]]/Table134[[#This Row],[Calls Reached]]</f>
        <v>0.83333333333333337</v>
      </c>
      <c r="N155" s="6">
        <f>IFERROR(Table134[[#This Row],[Deal Value ($)]]/Table134[[#This Row],[Deals Closed]],0)</f>
        <v>831.16000000000008</v>
      </c>
      <c r="O155" s="6">
        <f>Table134[[#This Row],[Deal Value ($)]]/Table134[[#This Row],[Total Calls]]</f>
        <v>94.45</v>
      </c>
      <c r="P155" t="str">
        <f>IF(Table134[[#This Row],[Conversion Rate]]&gt;=20%,"High","Low")</f>
        <v>High</v>
      </c>
    </row>
    <row r="156" spans="1:16" x14ac:dyDescent="0.25">
      <c r="A156" s="2">
        <v>45383</v>
      </c>
      <c r="B156" s="2" t="str">
        <f>TEXT(Table134[[#This Row],[Date]],"MMM")</f>
        <v>Apr</v>
      </c>
      <c r="C156">
        <v>103</v>
      </c>
      <c r="D156">
        <v>6</v>
      </c>
      <c r="E156" s="3">
        <v>165.74</v>
      </c>
      <c r="F156">
        <v>6</v>
      </c>
      <c r="G156" s="6">
        <v>1169.3800000000001</v>
      </c>
      <c r="H156" t="s">
        <v>24</v>
      </c>
      <c r="I156" t="s">
        <v>41</v>
      </c>
      <c r="J156" t="str">
        <f>Table134[[#This Row],[First Name]]&amp;" "&amp;Table134[[#This Row],[Last Name]]</f>
        <v>Alex Miller</v>
      </c>
      <c r="K156" t="s">
        <v>45</v>
      </c>
      <c r="L156" s="5">
        <f>Table134[[#This Row],[Calls Reached]]/Table134[[#This Row],[Total Calls]]</f>
        <v>5.8252427184466021E-2</v>
      </c>
      <c r="M156" s="5">
        <f>Table134[[#This Row],[Deals Closed]]/Table134[[#This Row],[Calls Reached]]</f>
        <v>1</v>
      </c>
      <c r="N156" s="6">
        <f>IFERROR(Table134[[#This Row],[Deal Value ($)]]/Table134[[#This Row],[Deals Closed]],0)</f>
        <v>194.89666666666668</v>
      </c>
      <c r="O156" s="6">
        <f>Table134[[#This Row],[Deal Value ($)]]/Table134[[#This Row],[Total Calls]]</f>
        <v>11.353203883495146</v>
      </c>
      <c r="P156" t="str">
        <f>IF(Table134[[#This Row],[Conversion Rate]]&gt;=20%,"High","Low")</f>
        <v>High</v>
      </c>
    </row>
    <row r="157" spans="1:16" x14ac:dyDescent="0.25">
      <c r="A157" s="2">
        <v>45383</v>
      </c>
      <c r="B157" s="2" t="str">
        <f>TEXT(Table134[[#This Row],[Date]],"MMM")</f>
        <v>Apr</v>
      </c>
      <c r="C157">
        <v>63</v>
      </c>
      <c r="D157">
        <v>11</v>
      </c>
      <c r="E157" s="3">
        <v>554.51</v>
      </c>
      <c r="F157">
        <v>1</v>
      </c>
      <c r="G157" s="6">
        <v>1138.51</v>
      </c>
      <c r="H157" t="s">
        <v>28</v>
      </c>
      <c r="I157" t="s">
        <v>42</v>
      </c>
      <c r="J157" t="str">
        <f>Table134[[#This Row],[First Name]]&amp;" "&amp;Table134[[#This Row],[Last Name]]</f>
        <v>Vicky Martinez</v>
      </c>
      <c r="K157" t="s">
        <v>46</v>
      </c>
      <c r="L157" s="5">
        <f>Table134[[#This Row],[Calls Reached]]/Table134[[#This Row],[Total Calls]]</f>
        <v>0.17460317460317459</v>
      </c>
      <c r="M157" s="5">
        <f>Table134[[#This Row],[Deals Closed]]/Table134[[#This Row],[Calls Reached]]</f>
        <v>9.0909090909090912E-2</v>
      </c>
      <c r="N157" s="6">
        <f>IFERROR(Table134[[#This Row],[Deal Value ($)]]/Table134[[#This Row],[Deals Closed]],0)</f>
        <v>1138.51</v>
      </c>
      <c r="O157" s="6">
        <f>Table134[[#This Row],[Deal Value ($)]]/Table134[[#This Row],[Total Calls]]</f>
        <v>18.0715873015873</v>
      </c>
      <c r="P157" t="str">
        <f>IF(Table134[[#This Row],[Conversion Rate]]&gt;=20%,"High","Low")</f>
        <v>Low</v>
      </c>
    </row>
    <row r="158" spans="1:16" x14ac:dyDescent="0.25">
      <c r="A158" s="2">
        <v>45383</v>
      </c>
      <c r="B158" s="2" t="str">
        <f>TEXT(Table134[[#This Row],[Date]],"MMM")</f>
        <v>Apr</v>
      </c>
      <c r="C158">
        <v>26</v>
      </c>
      <c r="D158">
        <v>17</v>
      </c>
      <c r="E158" s="3">
        <v>526.34</v>
      </c>
      <c r="F158">
        <v>6</v>
      </c>
      <c r="G158" s="6">
        <v>3360.11</v>
      </c>
      <c r="H158" t="s">
        <v>26</v>
      </c>
      <c r="I158" t="s">
        <v>44</v>
      </c>
      <c r="J158" t="str">
        <f>Table134[[#This Row],[First Name]]&amp;" "&amp;Table134[[#This Row],[Last Name]]</f>
        <v>Darren Brown</v>
      </c>
      <c r="K158" t="s">
        <v>46</v>
      </c>
      <c r="L158" s="5">
        <f>Table134[[#This Row],[Calls Reached]]/Table134[[#This Row],[Total Calls]]</f>
        <v>0.65384615384615385</v>
      </c>
      <c r="M158" s="5">
        <f>Table134[[#This Row],[Deals Closed]]/Table134[[#This Row],[Calls Reached]]</f>
        <v>0.35294117647058826</v>
      </c>
      <c r="N158" s="6">
        <f>IFERROR(Table134[[#This Row],[Deal Value ($)]]/Table134[[#This Row],[Deals Closed]],0)</f>
        <v>560.01833333333332</v>
      </c>
      <c r="O158" s="6">
        <f>Table134[[#This Row],[Deal Value ($)]]/Table134[[#This Row],[Total Calls]]</f>
        <v>129.23500000000001</v>
      </c>
      <c r="P158" t="str">
        <f>IF(Table134[[#This Row],[Conversion Rate]]&gt;=20%,"High","Low")</f>
        <v>High</v>
      </c>
    </row>
    <row r="159" spans="1:16" x14ac:dyDescent="0.25">
      <c r="A159" s="2">
        <v>45383</v>
      </c>
      <c r="B159" s="2" t="str">
        <f>TEXT(Table134[[#This Row],[Date]],"MMM")</f>
        <v>Apr</v>
      </c>
      <c r="C159">
        <v>104</v>
      </c>
      <c r="D159">
        <v>22</v>
      </c>
      <c r="E159" s="3">
        <v>190.87</v>
      </c>
      <c r="F159">
        <v>4</v>
      </c>
      <c r="G159" s="6">
        <v>433.41</v>
      </c>
      <c r="H159" t="s">
        <v>27</v>
      </c>
      <c r="I159" t="s">
        <v>36</v>
      </c>
      <c r="J159" t="str">
        <f>Table134[[#This Row],[First Name]]&amp;" "&amp;Table134[[#This Row],[Last Name]]</f>
        <v>Will Smith</v>
      </c>
      <c r="K159" t="s">
        <v>45</v>
      </c>
      <c r="L159" s="5">
        <f>Table134[[#This Row],[Calls Reached]]/Table134[[#This Row],[Total Calls]]</f>
        <v>0.21153846153846154</v>
      </c>
      <c r="M159" s="5">
        <f>Table134[[#This Row],[Deals Closed]]/Table134[[#This Row],[Calls Reached]]</f>
        <v>0.18181818181818182</v>
      </c>
      <c r="N159" s="6">
        <f>IFERROR(Table134[[#This Row],[Deal Value ($)]]/Table134[[#This Row],[Deals Closed]],0)</f>
        <v>108.35250000000001</v>
      </c>
      <c r="O159" s="6">
        <f>Table134[[#This Row],[Deal Value ($)]]/Table134[[#This Row],[Total Calls]]</f>
        <v>4.1674038461538467</v>
      </c>
      <c r="P159" t="str">
        <f>IF(Table134[[#This Row],[Conversion Rate]]&gt;=20%,"High","Low")</f>
        <v>Low</v>
      </c>
    </row>
    <row r="160" spans="1:16" x14ac:dyDescent="0.25">
      <c r="A160" s="2">
        <v>45383</v>
      </c>
      <c r="B160" s="2" t="str">
        <f>TEXT(Table134[[#This Row],[Date]],"MMM")</f>
        <v>Apr</v>
      </c>
      <c r="C160">
        <v>26</v>
      </c>
      <c r="D160">
        <v>6</v>
      </c>
      <c r="E160" s="3">
        <v>231.59</v>
      </c>
      <c r="F160">
        <v>2</v>
      </c>
      <c r="G160" s="6">
        <v>3988.15</v>
      </c>
      <c r="H160" t="s">
        <v>22</v>
      </c>
      <c r="I160" t="s">
        <v>42</v>
      </c>
      <c r="J160" t="str">
        <f>Table134[[#This Row],[First Name]]&amp;" "&amp;Table134[[#This Row],[Last Name]]</f>
        <v>Ian Martinez</v>
      </c>
      <c r="K160" t="s">
        <v>46</v>
      </c>
      <c r="L160" s="5">
        <f>Table134[[#This Row],[Calls Reached]]/Table134[[#This Row],[Total Calls]]</f>
        <v>0.23076923076923078</v>
      </c>
      <c r="M160" s="5">
        <f>Table134[[#This Row],[Deals Closed]]/Table134[[#This Row],[Calls Reached]]</f>
        <v>0.33333333333333331</v>
      </c>
      <c r="N160" s="6">
        <f>IFERROR(Table134[[#This Row],[Deal Value ($)]]/Table134[[#This Row],[Deals Closed]],0)</f>
        <v>1994.075</v>
      </c>
      <c r="O160" s="6">
        <f>Table134[[#This Row],[Deal Value ($)]]/Table134[[#This Row],[Total Calls]]</f>
        <v>153.39038461538462</v>
      </c>
      <c r="P160" t="str">
        <f>IF(Table134[[#This Row],[Conversion Rate]]&gt;=20%,"High","Low")</f>
        <v>High</v>
      </c>
    </row>
    <row r="161" spans="1:16" x14ac:dyDescent="0.25">
      <c r="A161" s="2">
        <v>45383</v>
      </c>
      <c r="B161" s="2" t="str">
        <f>TEXT(Table134[[#This Row],[Date]],"MMM")</f>
        <v>Apr</v>
      </c>
      <c r="C161">
        <v>22</v>
      </c>
      <c r="D161">
        <v>13</v>
      </c>
      <c r="E161" s="3">
        <v>302.49</v>
      </c>
      <c r="F161">
        <v>2</v>
      </c>
      <c r="G161" s="6">
        <v>1591.45</v>
      </c>
      <c r="H161" t="s">
        <v>29</v>
      </c>
      <c r="I161" t="s">
        <v>40</v>
      </c>
      <c r="J161" t="str">
        <f>Table134[[#This Row],[First Name]]&amp;" "&amp;Table134[[#This Row],[Last Name]]</f>
        <v>Grace Davis</v>
      </c>
      <c r="K161" t="s">
        <v>45</v>
      </c>
      <c r="L161" s="5">
        <f>Table134[[#This Row],[Calls Reached]]/Table134[[#This Row],[Total Calls]]</f>
        <v>0.59090909090909094</v>
      </c>
      <c r="M161" s="5">
        <f>Table134[[#This Row],[Deals Closed]]/Table134[[#This Row],[Calls Reached]]</f>
        <v>0.15384615384615385</v>
      </c>
      <c r="N161" s="6">
        <f>IFERROR(Table134[[#This Row],[Deal Value ($)]]/Table134[[#This Row],[Deals Closed]],0)</f>
        <v>795.72500000000002</v>
      </c>
      <c r="O161" s="6">
        <f>Table134[[#This Row],[Deal Value ($)]]/Table134[[#This Row],[Total Calls]]</f>
        <v>72.338636363636368</v>
      </c>
      <c r="P161" t="str">
        <f>IF(Table134[[#This Row],[Conversion Rate]]&gt;=20%,"High","Low")</f>
        <v>Low</v>
      </c>
    </row>
    <row r="162" spans="1:16" x14ac:dyDescent="0.25">
      <c r="A162" s="2">
        <v>45383</v>
      </c>
      <c r="B162" s="2" t="str">
        <f>TEXT(Table134[[#This Row],[Date]],"MMM")</f>
        <v>Apr</v>
      </c>
      <c r="C162">
        <v>77</v>
      </c>
      <c r="D162">
        <v>8</v>
      </c>
      <c r="E162" s="3">
        <v>173.88</v>
      </c>
      <c r="F162">
        <v>6</v>
      </c>
      <c r="G162" s="6">
        <v>462.44</v>
      </c>
      <c r="H162" t="s">
        <v>31</v>
      </c>
      <c r="I162" t="s">
        <v>35</v>
      </c>
      <c r="J162" t="str">
        <f>Table134[[#This Row],[First Name]]&amp;" "&amp;Table134[[#This Row],[Last Name]]</f>
        <v>Josh Garcia</v>
      </c>
      <c r="K162" t="s">
        <v>46</v>
      </c>
      <c r="L162" s="5">
        <f>Table134[[#This Row],[Calls Reached]]/Table134[[#This Row],[Total Calls]]</f>
        <v>0.1038961038961039</v>
      </c>
      <c r="M162" s="5">
        <f>Table134[[#This Row],[Deals Closed]]/Table134[[#This Row],[Calls Reached]]</f>
        <v>0.75</v>
      </c>
      <c r="N162" s="6">
        <f>IFERROR(Table134[[#This Row],[Deal Value ($)]]/Table134[[#This Row],[Deals Closed]],0)</f>
        <v>77.073333333333338</v>
      </c>
      <c r="O162" s="6">
        <f>Table134[[#This Row],[Deal Value ($)]]/Table134[[#This Row],[Total Calls]]</f>
        <v>6.0057142857142853</v>
      </c>
      <c r="P162" t="str">
        <f>IF(Table134[[#This Row],[Conversion Rate]]&gt;=20%,"High","Low")</f>
        <v>High</v>
      </c>
    </row>
    <row r="163" spans="1:16" x14ac:dyDescent="0.25">
      <c r="A163" s="2">
        <v>45383</v>
      </c>
      <c r="B163" s="2" t="str">
        <f>TEXT(Table134[[#This Row],[Date]],"MMM")</f>
        <v>Apr</v>
      </c>
      <c r="C163">
        <v>90</v>
      </c>
      <c r="D163">
        <v>17</v>
      </c>
      <c r="E163" s="3">
        <v>366.84</v>
      </c>
      <c r="F163">
        <v>0</v>
      </c>
      <c r="G163" s="6">
        <v>3153.56</v>
      </c>
      <c r="H163" t="s">
        <v>32</v>
      </c>
      <c r="I163" t="s">
        <v>38</v>
      </c>
      <c r="J163" t="str">
        <f>Table134[[#This Row],[First Name]]&amp;" "&amp;Table134[[#This Row],[Last Name]]</f>
        <v>Craig Rodriguez</v>
      </c>
      <c r="K163" t="s">
        <v>46</v>
      </c>
      <c r="L163" s="5">
        <f>Table134[[#This Row],[Calls Reached]]/Table134[[#This Row],[Total Calls]]</f>
        <v>0.18888888888888888</v>
      </c>
      <c r="M163" s="5">
        <f>Table134[[#This Row],[Deals Closed]]/Table134[[#This Row],[Calls Reached]]</f>
        <v>0</v>
      </c>
      <c r="N163" s="6">
        <f>IFERROR(Table134[[#This Row],[Deal Value ($)]]/Table134[[#This Row],[Deals Closed]],0)</f>
        <v>0</v>
      </c>
      <c r="O163" s="6">
        <f>Table134[[#This Row],[Deal Value ($)]]/Table134[[#This Row],[Total Calls]]</f>
        <v>35.039555555555552</v>
      </c>
      <c r="P163" t="str">
        <f>IF(Table134[[#This Row],[Conversion Rate]]&gt;=20%,"High","Low")</f>
        <v>Low</v>
      </c>
    </row>
    <row r="164" spans="1:16" x14ac:dyDescent="0.25">
      <c r="A164" s="2">
        <v>45383</v>
      </c>
      <c r="B164" s="2" t="str">
        <f>TEXT(Table134[[#This Row],[Date]],"MMM")</f>
        <v>Apr</v>
      </c>
      <c r="C164">
        <v>33</v>
      </c>
      <c r="D164">
        <v>9</v>
      </c>
      <c r="E164" s="3">
        <v>578.41999999999996</v>
      </c>
      <c r="F164">
        <v>4</v>
      </c>
      <c r="G164" s="6">
        <v>229.72</v>
      </c>
      <c r="H164" t="s">
        <v>33</v>
      </c>
      <c r="I164" t="s">
        <v>37</v>
      </c>
      <c r="J164" t="str">
        <f>Table134[[#This Row],[First Name]]&amp;" "&amp;Table134[[#This Row],[Last Name]]</f>
        <v>David Johnson</v>
      </c>
      <c r="K164" t="s">
        <v>45</v>
      </c>
      <c r="L164" s="5">
        <f>Table134[[#This Row],[Calls Reached]]/Table134[[#This Row],[Total Calls]]</f>
        <v>0.27272727272727271</v>
      </c>
      <c r="M164" s="5">
        <f>Table134[[#This Row],[Deals Closed]]/Table134[[#This Row],[Calls Reached]]</f>
        <v>0.44444444444444442</v>
      </c>
      <c r="N164" s="6">
        <f>IFERROR(Table134[[#This Row],[Deal Value ($)]]/Table134[[#This Row],[Deals Closed]],0)</f>
        <v>57.43</v>
      </c>
      <c r="O164" s="6">
        <f>Table134[[#This Row],[Deal Value ($)]]/Table134[[#This Row],[Total Calls]]</f>
        <v>6.961212121212121</v>
      </c>
      <c r="P164" t="str">
        <f>IF(Table134[[#This Row],[Conversion Rate]]&gt;=20%,"High","Low")</f>
        <v>High</v>
      </c>
    </row>
    <row r="165" spans="1:16" x14ac:dyDescent="0.25">
      <c r="A165" s="2">
        <v>45383</v>
      </c>
      <c r="B165" s="2" t="str">
        <f>TEXT(Table134[[#This Row],[Date]],"MMM")</f>
        <v>Apr</v>
      </c>
      <c r="C165">
        <v>42</v>
      </c>
      <c r="D165">
        <v>14</v>
      </c>
      <c r="E165" s="3">
        <v>321.29000000000002</v>
      </c>
      <c r="F165">
        <v>7</v>
      </c>
      <c r="G165" s="6">
        <v>4298.2700000000004</v>
      </c>
      <c r="H165" t="s">
        <v>34</v>
      </c>
      <c r="I165" t="s">
        <v>42</v>
      </c>
      <c r="J165" t="str">
        <f>Table134[[#This Row],[First Name]]&amp;" "&amp;Table134[[#This Row],[Last Name]]</f>
        <v>Mimi Martinez</v>
      </c>
      <c r="K165" t="s">
        <v>45</v>
      </c>
      <c r="L165" s="5">
        <f>Table134[[#This Row],[Calls Reached]]/Table134[[#This Row],[Total Calls]]</f>
        <v>0.33333333333333331</v>
      </c>
      <c r="M165" s="5">
        <f>Table134[[#This Row],[Deals Closed]]/Table134[[#This Row],[Calls Reached]]</f>
        <v>0.5</v>
      </c>
      <c r="N165" s="6">
        <f>IFERROR(Table134[[#This Row],[Deal Value ($)]]/Table134[[#This Row],[Deals Closed]],0)</f>
        <v>614.03857142857146</v>
      </c>
      <c r="O165" s="6">
        <f>Table134[[#This Row],[Deal Value ($)]]/Table134[[#This Row],[Total Calls]]</f>
        <v>102.33976190476191</v>
      </c>
      <c r="P165" t="str">
        <f>IF(Table134[[#This Row],[Conversion Rate]]&gt;=20%,"High","Low")</f>
        <v>High</v>
      </c>
    </row>
    <row r="166" spans="1:16" x14ac:dyDescent="0.25">
      <c r="A166" s="2">
        <v>45383</v>
      </c>
      <c r="B166" s="2" t="str">
        <f>TEXT(Table134[[#This Row],[Date]],"MMM")</f>
        <v>Apr</v>
      </c>
      <c r="C166">
        <v>100</v>
      </c>
      <c r="D166">
        <v>7</v>
      </c>
      <c r="E166" s="3">
        <v>82.62</v>
      </c>
      <c r="F166">
        <v>6</v>
      </c>
      <c r="G166" s="6">
        <v>4085.91</v>
      </c>
      <c r="H166" t="s">
        <v>25</v>
      </c>
      <c r="I166" t="s">
        <v>36</v>
      </c>
      <c r="J166" t="str">
        <f>Table134[[#This Row],[First Name]]&amp;" "&amp;Table134[[#This Row],[Last Name]]</f>
        <v>Karol Smith</v>
      </c>
      <c r="K166" t="s">
        <v>46</v>
      </c>
      <c r="L166" s="5">
        <f>Table134[[#This Row],[Calls Reached]]/Table134[[#This Row],[Total Calls]]</f>
        <v>7.0000000000000007E-2</v>
      </c>
      <c r="M166" s="5">
        <f>Table134[[#This Row],[Deals Closed]]/Table134[[#This Row],[Calls Reached]]</f>
        <v>0.8571428571428571</v>
      </c>
      <c r="N166" s="6">
        <f>IFERROR(Table134[[#This Row],[Deal Value ($)]]/Table134[[#This Row],[Deals Closed]],0)</f>
        <v>680.98500000000001</v>
      </c>
      <c r="O166" s="6">
        <f>Table134[[#This Row],[Deal Value ($)]]/Table134[[#This Row],[Total Calls]]</f>
        <v>40.859099999999998</v>
      </c>
      <c r="P166" t="str">
        <f>IF(Table134[[#This Row],[Conversion Rate]]&gt;=20%,"High","Low")</f>
        <v>High</v>
      </c>
    </row>
    <row r="167" spans="1:16" x14ac:dyDescent="0.25">
      <c r="A167" s="2">
        <v>45383</v>
      </c>
      <c r="B167" s="2" t="str">
        <f>TEXT(Table134[[#This Row],[Date]],"MMM")</f>
        <v>Apr</v>
      </c>
      <c r="C167">
        <v>69</v>
      </c>
      <c r="D167">
        <v>9</v>
      </c>
      <c r="E167" s="3">
        <v>221.01</v>
      </c>
      <c r="F167">
        <v>3</v>
      </c>
      <c r="G167" s="6">
        <v>643.44000000000005</v>
      </c>
      <c r="H167" t="s">
        <v>23</v>
      </c>
      <c r="I167" t="s">
        <v>41</v>
      </c>
      <c r="J167" t="str">
        <f>Table134[[#This Row],[First Name]]&amp;" "&amp;Table134[[#This Row],[Last Name]]</f>
        <v>Melissa Miller</v>
      </c>
      <c r="K167" t="s">
        <v>46</v>
      </c>
      <c r="L167" s="5">
        <f>Table134[[#This Row],[Calls Reached]]/Table134[[#This Row],[Total Calls]]</f>
        <v>0.13043478260869565</v>
      </c>
      <c r="M167" s="5">
        <f>Table134[[#This Row],[Deals Closed]]/Table134[[#This Row],[Calls Reached]]</f>
        <v>0.33333333333333331</v>
      </c>
      <c r="N167" s="6">
        <f>IFERROR(Table134[[#This Row],[Deal Value ($)]]/Table134[[#This Row],[Deals Closed]],0)</f>
        <v>214.48000000000002</v>
      </c>
      <c r="O167" s="6">
        <f>Table134[[#This Row],[Deal Value ($)]]/Table134[[#This Row],[Total Calls]]</f>
        <v>9.3252173913043492</v>
      </c>
      <c r="P167" t="str">
        <f>IF(Table134[[#This Row],[Conversion Rate]]&gt;=20%,"High","Low")</f>
        <v>High</v>
      </c>
    </row>
    <row r="168" spans="1:16" x14ac:dyDescent="0.25">
      <c r="A168" s="2">
        <v>45384</v>
      </c>
      <c r="B168" s="2" t="str">
        <f>TEXT(Table134[[#This Row],[Date]],"MMM")</f>
        <v>Apr</v>
      </c>
      <c r="C168">
        <v>99</v>
      </c>
      <c r="D168">
        <v>36</v>
      </c>
      <c r="E168" s="3">
        <v>424.60515105803182</v>
      </c>
      <c r="F168">
        <v>32</v>
      </c>
      <c r="G168" s="6">
        <v>3156.3272413166351</v>
      </c>
      <c r="H168" t="s">
        <v>34</v>
      </c>
      <c r="I168" t="s">
        <v>42</v>
      </c>
      <c r="J168" t="str">
        <f>Table134[[#This Row],[First Name]]&amp;" "&amp;Table134[[#This Row],[Last Name]]</f>
        <v>Mimi Martinez</v>
      </c>
      <c r="K168" t="s">
        <v>45</v>
      </c>
      <c r="L168" s="5">
        <f>Table134[[#This Row],[Calls Reached]]/Table134[[#This Row],[Total Calls]]</f>
        <v>0.36363636363636365</v>
      </c>
      <c r="M168" s="5">
        <f>Table134[[#This Row],[Deals Closed]]/Table134[[#This Row],[Calls Reached]]</f>
        <v>0.88888888888888884</v>
      </c>
      <c r="N168" s="6">
        <f>IFERROR(Table134[[#This Row],[Deal Value ($)]]/Table134[[#This Row],[Deals Closed]],0)</f>
        <v>98.635226291144846</v>
      </c>
      <c r="O168" s="6">
        <f>Table134[[#This Row],[Deal Value ($)]]/Table134[[#This Row],[Total Calls]]</f>
        <v>31.882093346632679</v>
      </c>
      <c r="P168" t="str">
        <f>IF(Table134[[#This Row],[Conversion Rate]]&gt;=20%,"High","Low")</f>
        <v>High</v>
      </c>
    </row>
    <row r="169" spans="1:16" x14ac:dyDescent="0.25">
      <c r="A169" s="2">
        <v>45385</v>
      </c>
      <c r="B169" s="2" t="str">
        <f>TEXT(Table134[[#This Row],[Date]],"MMM")</f>
        <v>Apr</v>
      </c>
      <c r="C169">
        <v>89</v>
      </c>
      <c r="D169">
        <v>36</v>
      </c>
      <c r="E169" s="3">
        <v>473.02243963271172</v>
      </c>
      <c r="F169">
        <v>5</v>
      </c>
      <c r="G169" s="6">
        <v>1706.2863837029431</v>
      </c>
      <c r="H169" t="s">
        <v>9</v>
      </c>
      <c r="I169" t="s">
        <v>42</v>
      </c>
      <c r="J169" t="str">
        <f>Table134[[#This Row],[First Name]]&amp;" "&amp;Table134[[#This Row],[Last Name]]</f>
        <v>Evan Martinez</v>
      </c>
      <c r="K169" t="s">
        <v>45</v>
      </c>
      <c r="L169" s="5">
        <f>Table134[[#This Row],[Calls Reached]]/Table134[[#This Row],[Total Calls]]</f>
        <v>0.4044943820224719</v>
      </c>
      <c r="M169" s="5">
        <f>Table134[[#This Row],[Deals Closed]]/Table134[[#This Row],[Calls Reached]]</f>
        <v>0.1388888888888889</v>
      </c>
      <c r="N169" s="6">
        <f>IFERROR(Table134[[#This Row],[Deal Value ($)]]/Table134[[#This Row],[Deals Closed]],0)</f>
        <v>341.25727674058862</v>
      </c>
      <c r="O169" s="6">
        <f>Table134[[#This Row],[Deal Value ($)]]/Table134[[#This Row],[Total Calls]]</f>
        <v>19.171757120257787</v>
      </c>
      <c r="P169" t="str">
        <f>IF(Table134[[#This Row],[Conversion Rate]]&gt;=20%,"High","Low")</f>
        <v>Low</v>
      </c>
    </row>
    <row r="170" spans="1:16" x14ac:dyDescent="0.25">
      <c r="A170" s="2">
        <v>45386</v>
      </c>
      <c r="B170" s="2" t="str">
        <f>TEXT(Table134[[#This Row],[Date]],"MMM")</f>
        <v>Apr</v>
      </c>
      <c r="C170">
        <v>53</v>
      </c>
      <c r="D170">
        <v>30</v>
      </c>
      <c r="E170" s="3">
        <v>391.68438254857978</v>
      </c>
      <c r="F170">
        <v>9</v>
      </c>
      <c r="G170" s="6">
        <v>3308.6700853211032</v>
      </c>
      <c r="H170" t="s">
        <v>48</v>
      </c>
      <c r="I170" t="s">
        <v>35</v>
      </c>
      <c r="J170" t="str">
        <f>Table134[[#This Row],[First Name]]&amp;" "&amp;Table134[[#This Row],[Last Name]]</f>
        <v>Anna Garcia</v>
      </c>
      <c r="K170" t="s">
        <v>46</v>
      </c>
      <c r="L170" s="5">
        <f>Table134[[#This Row],[Calls Reached]]/Table134[[#This Row],[Total Calls]]</f>
        <v>0.56603773584905659</v>
      </c>
      <c r="M170" s="5">
        <f>Table134[[#This Row],[Deals Closed]]/Table134[[#This Row],[Calls Reached]]</f>
        <v>0.3</v>
      </c>
      <c r="N170" s="6">
        <f>IFERROR(Table134[[#This Row],[Deal Value ($)]]/Table134[[#This Row],[Deals Closed]],0)</f>
        <v>367.63000948012257</v>
      </c>
      <c r="O170" s="6">
        <f>Table134[[#This Row],[Deal Value ($)]]/Table134[[#This Row],[Total Calls]]</f>
        <v>62.427737458888743</v>
      </c>
      <c r="P170" t="str">
        <f>IF(Table134[[#This Row],[Conversion Rate]]&gt;=20%,"High","Low")</f>
        <v>High</v>
      </c>
    </row>
    <row r="171" spans="1:16" x14ac:dyDescent="0.25">
      <c r="A171" s="2">
        <v>45387</v>
      </c>
      <c r="B171" s="2" t="str">
        <f>TEXT(Table134[[#This Row],[Date]],"MMM")</f>
        <v>Apr</v>
      </c>
      <c r="C171">
        <v>51</v>
      </c>
      <c r="D171">
        <v>39</v>
      </c>
      <c r="E171" s="3">
        <v>581.08627423727103</v>
      </c>
      <c r="F171">
        <v>4</v>
      </c>
      <c r="G171" s="6">
        <v>2342.352434860582</v>
      </c>
      <c r="H171" t="s">
        <v>10</v>
      </c>
      <c r="I171" t="s">
        <v>35</v>
      </c>
      <c r="J171" t="str">
        <f>Table134[[#This Row],[First Name]]&amp;" "&amp;Table134[[#This Row],[Last Name]]</f>
        <v>Alice Garcia</v>
      </c>
      <c r="K171" t="s">
        <v>46</v>
      </c>
      <c r="L171" s="5">
        <f>Table134[[#This Row],[Calls Reached]]/Table134[[#This Row],[Total Calls]]</f>
        <v>0.76470588235294112</v>
      </c>
      <c r="M171" s="5">
        <f>Table134[[#This Row],[Deals Closed]]/Table134[[#This Row],[Calls Reached]]</f>
        <v>0.10256410256410256</v>
      </c>
      <c r="N171" s="6">
        <f>IFERROR(Table134[[#This Row],[Deal Value ($)]]/Table134[[#This Row],[Deals Closed]],0)</f>
        <v>585.58810871514549</v>
      </c>
      <c r="O171" s="6">
        <f>Table134[[#This Row],[Deal Value ($)]]/Table134[[#This Row],[Total Calls]]</f>
        <v>45.928479114913372</v>
      </c>
      <c r="P171" t="str">
        <f>IF(Table134[[#This Row],[Conversion Rate]]&gt;=20%,"High","Low")</f>
        <v>Low</v>
      </c>
    </row>
    <row r="172" spans="1:16" x14ac:dyDescent="0.25">
      <c r="A172" s="2">
        <v>45390</v>
      </c>
      <c r="B172" s="2" t="str">
        <f>TEXT(Table134[[#This Row],[Date]],"MMM")</f>
        <v>Apr</v>
      </c>
      <c r="C172">
        <v>55</v>
      </c>
      <c r="D172">
        <v>37</v>
      </c>
      <c r="E172" s="3">
        <v>287.435289761852</v>
      </c>
      <c r="F172">
        <v>22</v>
      </c>
      <c r="G172" s="6">
        <v>2984.2123138339111</v>
      </c>
      <c r="H172" t="s">
        <v>9</v>
      </c>
      <c r="I172" t="s">
        <v>37</v>
      </c>
      <c r="J172" t="str">
        <f>Table134[[#This Row],[First Name]]&amp;" "&amp;Table134[[#This Row],[Last Name]]</f>
        <v>Evan Johnson</v>
      </c>
      <c r="K172" t="s">
        <v>46</v>
      </c>
      <c r="L172" s="5">
        <f>Table134[[#This Row],[Calls Reached]]/Table134[[#This Row],[Total Calls]]</f>
        <v>0.67272727272727273</v>
      </c>
      <c r="M172" s="5">
        <f>Table134[[#This Row],[Deals Closed]]/Table134[[#This Row],[Calls Reached]]</f>
        <v>0.59459459459459463</v>
      </c>
      <c r="N172" s="6">
        <f>IFERROR(Table134[[#This Row],[Deal Value ($)]]/Table134[[#This Row],[Deals Closed]],0)</f>
        <v>135.64601426517777</v>
      </c>
      <c r="O172" s="6">
        <f>Table134[[#This Row],[Deal Value ($)]]/Table134[[#This Row],[Total Calls]]</f>
        <v>54.258405706071109</v>
      </c>
      <c r="P172" t="str">
        <f>IF(Table134[[#This Row],[Conversion Rate]]&gt;=20%,"High","Low")</f>
        <v>High</v>
      </c>
    </row>
    <row r="173" spans="1:16" x14ac:dyDescent="0.25">
      <c r="A173" s="2">
        <v>45391</v>
      </c>
      <c r="B173" s="2" t="str">
        <f>TEXT(Table134[[#This Row],[Date]],"MMM")</f>
        <v>Apr</v>
      </c>
      <c r="C173">
        <v>91</v>
      </c>
      <c r="D173">
        <v>73</v>
      </c>
      <c r="E173" s="3">
        <v>242.85604314093041</v>
      </c>
      <c r="F173">
        <v>9</v>
      </c>
      <c r="G173" s="6">
        <v>2462.569381108925</v>
      </c>
      <c r="H173" t="s">
        <v>48</v>
      </c>
      <c r="I173" t="s">
        <v>40</v>
      </c>
      <c r="J173" t="str">
        <f>Table134[[#This Row],[First Name]]&amp;" "&amp;Table134[[#This Row],[Last Name]]</f>
        <v>Anna Davis</v>
      </c>
      <c r="K173" t="s">
        <v>46</v>
      </c>
      <c r="L173" s="5">
        <f>Table134[[#This Row],[Calls Reached]]/Table134[[#This Row],[Total Calls]]</f>
        <v>0.80219780219780223</v>
      </c>
      <c r="M173" s="5">
        <f>Table134[[#This Row],[Deals Closed]]/Table134[[#This Row],[Calls Reached]]</f>
        <v>0.12328767123287671</v>
      </c>
      <c r="N173" s="6">
        <f>IFERROR(Table134[[#This Row],[Deal Value ($)]]/Table134[[#This Row],[Deals Closed]],0)</f>
        <v>273.61882012321388</v>
      </c>
      <c r="O173" s="6">
        <f>Table134[[#This Row],[Deal Value ($)]]/Table134[[#This Row],[Total Calls]]</f>
        <v>27.061201990207966</v>
      </c>
      <c r="P173" t="str">
        <f>IF(Table134[[#This Row],[Conversion Rate]]&gt;=20%,"High","Low")</f>
        <v>Low</v>
      </c>
    </row>
    <row r="174" spans="1:16" x14ac:dyDescent="0.25">
      <c r="A174" s="2">
        <v>45392</v>
      </c>
      <c r="B174" s="2" t="str">
        <f>TEXT(Table134[[#This Row],[Date]],"MMM")</f>
        <v>Apr</v>
      </c>
      <c r="C174">
        <v>53</v>
      </c>
      <c r="D174">
        <v>78</v>
      </c>
      <c r="E174" s="3">
        <v>534.29956409473016</v>
      </c>
      <c r="F174">
        <v>1</v>
      </c>
      <c r="G174" s="6">
        <v>1825.09591793863</v>
      </c>
      <c r="H174" t="s">
        <v>9</v>
      </c>
      <c r="I174" t="s">
        <v>40</v>
      </c>
      <c r="J174" t="str">
        <f>Table134[[#This Row],[First Name]]&amp;" "&amp;Table134[[#This Row],[Last Name]]</f>
        <v>Evan Davis</v>
      </c>
      <c r="K174" t="s">
        <v>45</v>
      </c>
      <c r="L174" s="5">
        <f>Table134[[#This Row],[Calls Reached]]/Table134[[#This Row],[Total Calls]]</f>
        <v>1.4716981132075471</v>
      </c>
      <c r="M174" s="5">
        <f>Table134[[#This Row],[Deals Closed]]/Table134[[#This Row],[Calls Reached]]</f>
        <v>1.282051282051282E-2</v>
      </c>
      <c r="N174" s="6">
        <f>IFERROR(Table134[[#This Row],[Deal Value ($)]]/Table134[[#This Row],[Deals Closed]],0)</f>
        <v>1825.09591793863</v>
      </c>
      <c r="O174" s="6">
        <f>Table134[[#This Row],[Deal Value ($)]]/Table134[[#This Row],[Total Calls]]</f>
        <v>34.435772036577923</v>
      </c>
      <c r="P174" t="str">
        <f>IF(Table134[[#This Row],[Conversion Rate]]&gt;=20%,"High","Low")</f>
        <v>Low</v>
      </c>
    </row>
    <row r="175" spans="1:16" x14ac:dyDescent="0.25">
      <c r="A175" s="2">
        <v>45393</v>
      </c>
      <c r="B175" s="2" t="str">
        <f>TEXT(Table134[[#This Row],[Date]],"MMM")</f>
        <v>Apr</v>
      </c>
      <c r="C175">
        <v>78</v>
      </c>
      <c r="D175">
        <v>70</v>
      </c>
      <c r="E175" s="3">
        <v>211.79791925972631</v>
      </c>
      <c r="F175">
        <v>12</v>
      </c>
      <c r="G175" s="6">
        <v>4768.0398813297052</v>
      </c>
      <c r="H175" t="s">
        <v>9</v>
      </c>
      <c r="I175" t="s">
        <v>43</v>
      </c>
      <c r="J175" t="str">
        <f>Table134[[#This Row],[First Name]]&amp;" "&amp;Table134[[#This Row],[Last Name]]</f>
        <v>Evan Williams</v>
      </c>
      <c r="K175" t="s">
        <v>45</v>
      </c>
      <c r="L175" s="5">
        <f>Table134[[#This Row],[Calls Reached]]/Table134[[#This Row],[Total Calls]]</f>
        <v>0.89743589743589747</v>
      </c>
      <c r="M175" s="5">
        <f>Table134[[#This Row],[Deals Closed]]/Table134[[#This Row],[Calls Reached]]</f>
        <v>0.17142857142857143</v>
      </c>
      <c r="N175" s="6">
        <f>IFERROR(Table134[[#This Row],[Deal Value ($)]]/Table134[[#This Row],[Deals Closed]],0)</f>
        <v>397.33665677747541</v>
      </c>
      <c r="O175" s="6">
        <f>Table134[[#This Row],[Deal Value ($)]]/Table134[[#This Row],[Total Calls]]</f>
        <v>61.128716427303914</v>
      </c>
      <c r="P175" t="str">
        <f>IF(Table134[[#This Row],[Conversion Rate]]&gt;=20%,"High","Low")</f>
        <v>Low</v>
      </c>
    </row>
    <row r="176" spans="1:16" x14ac:dyDescent="0.25">
      <c r="A176" s="2">
        <v>45394</v>
      </c>
      <c r="B176" s="2" t="str">
        <f>TEXT(Table134[[#This Row],[Date]],"MMM")</f>
        <v>Apr</v>
      </c>
      <c r="C176">
        <v>67</v>
      </c>
      <c r="D176">
        <v>57</v>
      </c>
      <c r="E176" s="3">
        <v>581.6112697203057</v>
      </c>
      <c r="F176">
        <v>39</v>
      </c>
      <c r="G176" s="6">
        <v>3936.226073718924</v>
      </c>
      <c r="H176" t="s">
        <v>47</v>
      </c>
      <c r="I176" t="s">
        <v>40</v>
      </c>
      <c r="J176" t="str">
        <f>Table134[[#This Row],[First Name]]&amp;" "&amp;Table134[[#This Row],[Last Name]]</f>
        <v>John Davis</v>
      </c>
      <c r="K176" t="s">
        <v>45</v>
      </c>
      <c r="L176" s="5">
        <f>Table134[[#This Row],[Calls Reached]]/Table134[[#This Row],[Total Calls]]</f>
        <v>0.85074626865671643</v>
      </c>
      <c r="M176" s="5">
        <f>Table134[[#This Row],[Deals Closed]]/Table134[[#This Row],[Calls Reached]]</f>
        <v>0.68421052631578949</v>
      </c>
      <c r="N176" s="6">
        <f>IFERROR(Table134[[#This Row],[Deal Value ($)]]/Table134[[#This Row],[Deals Closed]],0)</f>
        <v>100.92887368510061</v>
      </c>
      <c r="O176" s="6">
        <f>Table134[[#This Row],[Deal Value ($)]]/Table134[[#This Row],[Total Calls]]</f>
        <v>58.749642891327227</v>
      </c>
      <c r="P176" t="str">
        <f>IF(Table134[[#This Row],[Conversion Rate]]&gt;=20%,"High","Low")</f>
        <v>High</v>
      </c>
    </row>
    <row r="177" spans="1:16" x14ac:dyDescent="0.25">
      <c r="A177" s="2">
        <v>45397</v>
      </c>
      <c r="B177" s="2" t="str">
        <f>TEXT(Table134[[#This Row],[Date]],"MMM")</f>
        <v>Apr</v>
      </c>
      <c r="C177">
        <v>75</v>
      </c>
      <c r="D177">
        <v>28</v>
      </c>
      <c r="E177" s="3">
        <v>106.0772373449082</v>
      </c>
      <c r="F177">
        <v>1</v>
      </c>
      <c r="G177" s="6">
        <v>1130.5092909490361</v>
      </c>
      <c r="H177" t="s">
        <v>49</v>
      </c>
      <c r="I177" t="s">
        <v>35</v>
      </c>
      <c r="J177" t="str">
        <f>Table134[[#This Row],[First Name]]&amp;" "&amp;Table134[[#This Row],[Last Name]]</f>
        <v>Jane Garcia</v>
      </c>
      <c r="K177" t="s">
        <v>45</v>
      </c>
      <c r="L177" s="5">
        <f>Table134[[#This Row],[Calls Reached]]/Table134[[#This Row],[Total Calls]]</f>
        <v>0.37333333333333335</v>
      </c>
      <c r="M177" s="5">
        <f>Table134[[#This Row],[Deals Closed]]/Table134[[#This Row],[Calls Reached]]</f>
        <v>3.5714285714285712E-2</v>
      </c>
      <c r="N177" s="6">
        <f>IFERROR(Table134[[#This Row],[Deal Value ($)]]/Table134[[#This Row],[Deals Closed]],0)</f>
        <v>1130.5092909490361</v>
      </c>
      <c r="O177" s="6">
        <f>Table134[[#This Row],[Deal Value ($)]]/Table134[[#This Row],[Total Calls]]</f>
        <v>15.073457212653814</v>
      </c>
      <c r="P177" t="str">
        <f>IF(Table134[[#This Row],[Conversion Rate]]&gt;=20%,"High","Low")</f>
        <v>Low</v>
      </c>
    </row>
    <row r="178" spans="1:16" x14ac:dyDescent="0.25">
      <c r="A178" s="2">
        <v>45398</v>
      </c>
      <c r="B178" s="2" t="str">
        <f>TEXT(Table134[[#This Row],[Date]],"MMM")</f>
        <v>Apr</v>
      </c>
      <c r="C178">
        <v>93</v>
      </c>
      <c r="D178">
        <v>13</v>
      </c>
      <c r="E178" s="3">
        <v>584.93941335381953</v>
      </c>
      <c r="F178">
        <v>19</v>
      </c>
      <c r="G178" s="6">
        <v>4408.1058915406074</v>
      </c>
      <c r="H178" t="s">
        <v>10</v>
      </c>
      <c r="I178" t="s">
        <v>36</v>
      </c>
      <c r="J178" t="str">
        <f>Table134[[#This Row],[First Name]]&amp;" "&amp;Table134[[#This Row],[Last Name]]</f>
        <v>Alice Smith</v>
      </c>
      <c r="K178" t="s">
        <v>45</v>
      </c>
      <c r="L178" s="5">
        <f>Table134[[#This Row],[Calls Reached]]/Table134[[#This Row],[Total Calls]]</f>
        <v>0.13978494623655913</v>
      </c>
      <c r="M178" s="5">
        <f>Table134[[#This Row],[Deals Closed]]/Table134[[#This Row],[Calls Reached]]</f>
        <v>1.4615384615384615</v>
      </c>
      <c r="N178" s="6">
        <f>IFERROR(Table134[[#This Row],[Deal Value ($)]]/Table134[[#This Row],[Deals Closed]],0)</f>
        <v>232.00557323897934</v>
      </c>
      <c r="O178" s="6">
        <f>Table134[[#This Row],[Deal Value ($)]]/Table134[[#This Row],[Total Calls]]</f>
        <v>47.398988081081804</v>
      </c>
      <c r="P178" t="str">
        <f>IF(Table134[[#This Row],[Conversion Rate]]&gt;=20%,"High","Low")</f>
        <v>High</v>
      </c>
    </row>
    <row r="179" spans="1:16" x14ac:dyDescent="0.25">
      <c r="A179" s="2">
        <v>45399</v>
      </c>
      <c r="B179" s="2" t="str">
        <f>TEXT(Table134[[#This Row],[Date]],"MMM")</f>
        <v>Apr</v>
      </c>
      <c r="C179">
        <v>83</v>
      </c>
      <c r="D179">
        <v>44</v>
      </c>
      <c r="E179" s="3">
        <v>121.5799559752881</v>
      </c>
      <c r="F179">
        <v>0</v>
      </c>
      <c r="G179" s="6">
        <v>2693.4403921228109</v>
      </c>
      <c r="H179" t="s">
        <v>9</v>
      </c>
      <c r="I179" t="s">
        <v>40</v>
      </c>
      <c r="J179" t="str">
        <f>Table134[[#This Row],[First Name]]&amp;" "&amp;Table134[[#This Row],[Last Name]]</f>
        <v>Evan Davis</v>
      </c>
      <c r="K179" t="s">
        <v>46</v>
      </c>
      <c r="L179" s="5">
        <f>Table134[[#This Row],[Calls Reached]]/Table134[[#This Row],[Total Calls]]</f>
        <v>0.53012048192771088</v>
      </c>
      <c r="M179" s="5">
        <f>Table134[[#This Row],[Deals Closed]]/Table134[[#This Row],[Calls Reached]]</f>
        <v>0</v>
      </c>
      <c r="N179" s="6">
        <f>IFERROR(Table134[[#This Row],[Deal Value ($)]]/Table134[[#This Row],[Deals Closed]],0)</f>
        <v>0</v>
      </c>
      <c r="O179" s="6">
        <f>Table134[[#This Row],[Deal Value ($)]]/Table134[[#This Row],[Total Calls]]</f>
        <v>32.451089061720616</v>
      </c>
      <c r="P179" t="str">
        <f>IF(Table134[[#This Row],[Conversion Rate]]&gt;=20%,"High","Low")</f>
        <v>Low</v>
      </c>
    </row>
    <row r="180" spans="1:16" x14ac:dyDescent="0.25">
      <c r="A180" s="2">
        <v>45400</v>
      </c>
      <c r="B180" s="2" t="str">
        <f>TEXT(Table134[[#This Row],[Date]],"MMM")</f>
        <v>Apr</v>
      </c>
      <c r="C180">
        <v>59</v>
      </c>
      <c r="D180">
        <v>73</v>
      </c>
      <c r="E180" s="3">
        <v>545.57155684903546</v>
      </c>
      <c r="F180">
        <v>36</v>
      </c>
      <c r="G180" s="6">
        <v>4525.4850210234108</v>
      </c>
      <c r="H180" t="s">
        <v>10</v>
      </c>
      <c r="I180" t="s">
        <v>35</v>
      </c>
      <c r="J180" t="str">
        <f>Table134[[#This Row],[First Name]]&amp;" "&amp;Table134[[#This Row],[Last Name]]</f>
        <v>Alice Garcia</v>
      </c>
      <c r="K180" t="s">
        <v>45</v>
      </c>
      <c r="L180" s="5">
        <f>Table134[[#This Row],[Calls Reached]]/Table134[[#This Row],[Total Calls]]</f>
        <v>1.2372881355932204</v>
      </c>
      <c r="M180" s="5">
        <f>Table134[[#This Row],[Deals Closed]]/Table134[[#This Row],[Calls Reached]]</f>
        <v>0.49315068493150682</v>
      </c>
      <c r="N180" s="6">
        <f>IFERROR(Table134[[#This Row],[Deal Value ($)]]/Table134[[#This Row],[Deals Closed]],0)</f>
        <v>125.7079172506503</v>
      </c>
      <c r="O180" s="6">
        <f>Table134[[#This Row],[Deal Value ($)]]/Table134[[#This Row],[Total Calls]]</f>
        <v>76.703135949549335</v>
      </c>
      <c r="P180" t="str">
        <f>IF(Table134[[#This Row],[Conversion Rate]]&gt;=20%,"High","Low")</f>
        <v>High</v>
      </c>
    </row>
    <row r="181" spans="1:16" x14ac:dyDescent="0.25">
      <c r="A181" s="2">
        <v>45401</v>
      </c>
      <c r="B181" s="2" t="str">
        <f>TEXT(Table134[[#This Row],[Date]],"MMM")</f>
        <v>Apr</v>
      </c>
      <c r="C181">
        <v>85</v>
      </c>
      <c r="D181">
        <v>58</v>
      </c>
      <c r="E181" s="3">
        <v>363.85055454314988</v>
      </c>
      <c r="F181">
        <v>8</v>
      </c>
      <c r="G181" s="6">
        <v>4099.348651762919</v>
      </c>
      <c r="H181" t="s">
        <v>34</v>
      </c>
      <c r="I181" t="s">
        <v>37</v>
      </c>
      <c r="J181" t="str">
        <f>Table134[[#This Row],[First Name]]&amp;" "&amp;Table134[[#This Row],[Last Name]]</f>
        <v>Mimi Johnson</v>
      </c>
      <c r="K181" t="s">
        <v>46</v>
      </c>
      <c r="L181" s="5">
        <f>Table134[[#This Row],[Calls Reached]]/Table134[[#This Row],[Total Calls]]</f>
        <v>0.68235294117647061</v>
      </c>
      <c r="M181" s="5">
        <f>Table134[[#This Row],[Deals Closed]]/Table134[[#This Row],[Calls Reached]]</f>
        <v>0.13793103448275862</v>
      </c>
      <c r="N181" s="6">
        <f>IFERROR(Table134[[#This Row],[Deal Value ($)]]/Table134[[#This Row],[Deals Closed]],0)</f>
        <v>512.41858147036487</v>
      </c>
      <c r="O181" s="6">
        <f>Table134[[#This Row],[Deal Value ($)]]/Table134[[#This Row],[Total Calls]]</f>
        <v>48.227631197210812</v>
      </c>
      <c r="P181" t="str">
        <f>IF(Table134[[#This Row],[Conversion Rate]]&gt;=20%,"High","Low")</f>
        <v>Low</v>
      </c>
    </row>
    <row r="182" spans="1:16" x14ac:dyDescent="0.25">
      <c r="A182" s="2">
        <v>45404</v>
      </c>
      <c r="B182" s="2" t="str">
        <f>TEXT(Table134[[#This Row],[Date]],"MMM")</f>
        <v>Apr</v>
      </c>
      <c r="C182">
        <v>63</v>
      </c>
      <c r="D182">
        <v>26</v>
      </c>
      <c r="E182" s="3">
        <v>596.48239805965022</v>
      </c>
      <c r="F182">
        <v>16</v>
      </c>
      <c r="G182" s="6">
        <v>2413.460770111551</v>
      </c>
      <c r="H182" t="s">
        <v>9</v>
      </c>
      <c r="I182" t="s">
        <v>42</v>
      </c>
      <c r="J182" t="str">
        <f>Table134[[#This Row],[First Name]]&amp;" "&amp;Table134[[#This Row],[Last Name]]</f>
        <v>Evan Martinez</v>
      </c>
      <c r="K182" t="s">
        <v>46</v>
      </c>
      <c r="L182" s="5">
        <f>Table134[[#This Row],[Calls Reached]]/Table134[[#This Row],[Total Calls]]</f>
        <v>0.41269841269841268</v>
      </c>
      <c r="M182" s="5">
        <f>Table134[[#This Row],[Deals Closed]]/Table134[[#This Row],[Calls Reached]]</f>
        <v>0.61538461538461542</v>
      </c>
      <c r="N182" s="6">
        <f>IFERROR(Table134[[#This Row],[Deal Value ($)]]/Table134[[#This Row],[Deals Closed]],0)</f>
        <v>150.84129813197194</v>
      </c>
      <c r="O182" s="6">
        <f>Table134[[#This Row],[Deal Value ($)]]/Table134[[#This Row],[Total Calls]]</f>
        <v>38.308901112881763</v>
      </c>
      <c r="P182" t="str">
        <f>IF(Table134[[#This Row],[Conversion Rate]]&gt;=20%,"High","Low")</f>
        <v>High</v>
      </c>
    </row>
    <row r="183" spans="1:16" x14ac:dyDescent="0.25">
      <c r="A183" s="2">
        <v>45405</v>
      </c>
      <c r="B183" s="2" t="str">
        <f>TEXT(Table134[[#This Row],[Date]],"MMM")</f>
        <v>Apr</v>
      </c>
      <c r="C183">
        <v>80</v>
      </c>
      <c r="D183">
        <v>53</v>
      </c>
      <c r="E183" s="3">
        <v>136.89828236769941</v>
      </c>
      <c r="F183">
        <v>8</v>
      </c>
      <c r="G183" s="6">
        <v>601.11188744052833</v>
      </c>
      <c r="H183" t="s">
        <v>18</v>
      </c>
      <c r="I183" t="s">
        <v>40</v>
      </c>
      <c r="J183" t="str">
        <f>Table134[[#This Row],[First Name]]&amp;" "&amp;Table134[[#This Row],[Last Name]]</f>
        <v>Chris Davis</v>
      </c>
      <c r="K183" t="s">
        <v>46</v>
      </c>
      <c r="L183" s="5">
        <f>Table134[[#This Row],[Calls Reached]]/Table134[[#This Row],[Total Calls]]</f>
        <v>0.66249999999999998</v>
      </c>
      <c r="M183" s="5">
        <f>Table134[[#This Row],[Deals Closed]]/Table134[[#This Row],[Calls Reached]]</f>
        <v>0.15094339622641509</v>
      </c>
      <c r="N183" s="6">
        <f>IFERROR(Table134[[#This Row],[Deal Value ($)]]/Table134[[#This Row],[Deals Closed]],0)</f>
        <v>75.138985930066042</v>
      </c>
      <c r="O183" s="6">
        <f>Table134[[#This Row],[Deal Value ($)]]/Table134[[#This Row],[Total Calls]]</f>
        <v>7.513898593006604</v>
      </c>
      <c r="P183" t="str">
        <f>IF(Table134[[#This Row],[Conversion Rate]]&gt;=20%,"High","Low")</f>
        <v>Low</v>
      </c>
    </row>
    <row r="184" spans="1:16" x14ac:dyDescent="0.25">
      <c r="A184" s="2">
        <v>45406</v>
      </c>
      <c r="B184" s="2" t="str">
        <f>TEXT(Table134[[#This Row],[Date]],"MMM")</f>
        <v>Apr</v>
      </c>
      <c r="C184">
        <v>97</v>
      </c>
      <c r="D184">
        <v>39</v>
      </c>
      <c r="E184" s="3">
        <v>376.9271422006604</v>
      </c>
      <c r="F184">
        <v>10</v>
      </c>
      <c r="G184" s="6">
        <v>1709.048117232257</v>
      </c>
      <c r="H184" t="s">
        <v>49</v>
      </c>
      <c r="I184" t="s">
        <v>37</v>
      </c>
      <c r="J184" t="str">
        <f>Table134[[#This Row],[First Name]]&amp;" "&amp;Table134[[#This Row],[Last Name]]</f>
        <v>Jane Johnson</v>
      </c>
      <c r="K184" t="s">
        <v>46</v>
      </c>
      <c r="L184" s="5">
        <f>Table134[[#This Row],[Calls Reached]]/Table134[[#This Row],[Total Calls]]</f>
        <v>0.40206185567010311</v>
      </c>
      <c r="M184" s="5">
        <f>Table134[[#This Row],[Deals Closed]]/Table134[[#This Row],[Calls Reached]]</f>
        <v>0.25641025641025639</v>
      </c>
      <c r="N184" s="6">
        <f>IFERROR(Table134[[#This Row],[Deal Value ($)]]/Table134[[#This Row],[Deals Closed]],0)</f>
        <v>170.90481172322569</v>
      </c>
      <c r="O184" s="6">
        <f>Table134[[#This Row],[Deal Value ($)]]/Table134[[#This Row],[Total Calls]]</f>
        <v>17.619052754971722</v>
      </c>
      <c r="P184" t="str">
        <f>IF(Table134[[#This Row],[Conversion Rate]]&gt;=20%,"High","Low")</f>
        <v>High</v>
      </c>
    </row>
    <row r="185" spans="1:16" x14ac:dyDescent="0.25">
      <c r="A185" s="2">
        <v>45407</v>
      </c>
      <c r="B185" s="2" t="str">
        <f>TEXT(Table134[[#This Row],[Date]],"MMM")</f>
        <v>Apr</v>
      </c>
      <c r="C185">
        <v>64</v>
      </c>
      <c r="D185">
        <v>55</v>
      </c>
      <c r="E185" s="3">
        <v>584.65126780954949</v>
      </c>
      <c r="F185">
        <v>14</v>
      </c>
      <c r="G185" s="6">
        <v>2937.3539659739008</v>
      </c>
      <c r="H185" t="s">
        <v>18</v>
      </c>
      <c r="I185" t="s">
        <v>42</v>
      </c>
      <c r="J185" t="str">
        <f>Table134[[#This Row],[First Name]]&amp;" "&amp;Table134[[#This Row],[Last Name]]</f>
        <v>Chris Martinez</v>
      </c>
      <c r="K185" t="s">
        <v>45</v>
      </c>
      <c r="L185" s="5">
        <f>Table134[[#This Row],[Calls Reached]]/Table134[[#This Row],[Total Calls]]</f>
        <v>0.859375</v>
      </c>
      <c r="M185" s="5">
        <f>Table134[[#This Row],[Deals Closed]]/Table134[[#This Row],[Calls Reached]]</f>
        <v>0.25454545454545452</v>
      </c>
      <c r="N185" s="6">
        <f>IFERROR(Table134[[#This Row],[Deal Value ($)]]/Table134[[#This Row],[Deals Closed]],0)</f>
        <v>209.81099756956434</v>
      </c>
      <c r="O185" s="6">
        <f>Table134[[#This Row],[Deal Value ($)]]/Table134[[#This Row],[Total Calls]]</f>
        <v>45.8961557183422</v>
      </c>
      <c r="P185" t="str">
        <f>IF(Table134[[#This Row],[Conversion Rate]]&gt;=20%,"High","Low")</f>
        <v>High</v>
      </c>
    </row>
    <row r="186" spans="1:16" x14ac:dyDescent="0.25">
      <c r="A186" s="2">
        <v>45408</v>
      </c>
      <c r="B186" s="2" t="str">
        <f>TEXT(Table134[[#This Row],[Date]],"MMM")</f>
        <v>Apr</v>
      </c>
      <c r="C186">
        <v>57</v>
      </c>
      <c r="D186">
        <v>15</v>
      </c>
      <c r="E186" s="3">
        <v>361.54892208507442</v>
      </c>
      <c r="F186">
        <v>23</v>
      </c>
      <c r="G186" s="6">
        <v>3350.651989217663</v>
      </c>
      <c r="H186" t="s">
        <v>10</v>
      </c>
      <c r="I186" t="s">
        <v>38</v>
      </c>
      <c r="J186" t="str">
        <f>Table134[[#This Row],[First Name]]&amp;" "&amp;Table134[[#This Row],[Last Name]]</f>
        <v>Alice Rodriguez</v>
      </c>
      <c r="K186" t="s">
        <v>46</v>
      </c>
      <c r="L186" s="5">
        <f>Table134[[#This Row],[Calls Reached]]/Table134[[#This Row],[Total Calls]]</f>
        <v>0.26315789473684209</v>
      </c>
      <c r="M186" s="5">
        <f>Table134[[#This Row],[Deals Closed]]/Table134[[#This Row],[Calls Reached]]</f>
        <v>1.5333333333333334</v>
      </c>
      <c r="N186" s="6">
        <f>IFERROR(Table134[[#This Row],[Deal Value ($)]]/Table134[[#This Row],[Deals Closed]],0)</f>
        <v>145.68052127033317</v>
      </c>
      <c r="O186" s="6">
        <f>Table134[[#This Row],[Deal Value ($)]]/Table134[[#This Row],[Total Calls]]</f>
        <v>58.783368231888822</v>
      </c>
      <c r="P186" t="str">
        <f>IF(Table134[[#This Row],[Conversion Rate]]&gt;=20%,"High","Low")</f>
        <v>High</v>
      </c>
    </row>
    <row r="187" spans="1:16" x14ac:dyDescent="0.25">
      <c r="A187" s="2">
        <v>45411</v>
      </c>
      <c r="B187" s="2" t="str">
        <f>TEXT(Table134[[#This Row],[Date]],"MMM")</f>
        <v>Apr</v>
      </c>
      <c r="C187">
        <v>63</v>
      </c>
      <c r="D187">
        <v>46</v>
      </c>
      <c r="E187" s="3">
        <v>414.69931906763128</v>
      </c>
      <c r="F187">
        <v>37</v>
      </c>
      <c r="G187" s="6">
        <v>1660.49458444941</v>
      </c>
      <c r="H187" t="s">
        <v>10</v>
      </c>
      <c r="I187" t="s">
        <v>38</v>
      </c>
      <c r="J187" t="str">
        <f>Table134[[#This Row],[First Name]]&amp;" "&amp;Table134[[#This Row],[Last Name]]</f>
        <v>Alice Rodriguez</v>
      </c>
      <c r="K187" t="s">
        <v>46</v>
      </c>
      <c r="L187" s="5">
        <f>Table134[[#This Row],[Calls Reached]]/Table134[[#This Row],[Total Calls]]</f>
        <v>0.73015873015873012</v>
      </c>
      <c r="M187" s="5">
        <f>Table134[[#This Row],[Deals Closed]]/Table134[[#This Row],[Calls Reached]]</f>
        <v>0.80434782608695654</v>
      </c>
      <c r="N187" s="6">
        <f>IFERROR(Table134[[#This Row],[Deal Value ($)]]/Table134[[#This Row],[Deals Closed]],0)</f>
        <v>44.878232012146213</v>
      </c>
      <c r="O187" s="6">
        <f>Table134[[#This Row],[Deal Value ($)]]/Table134[[#This Row],[Total Calls]]</f>
        <v>26.357056896022382</v>
      </c>
      <c r="P187" t="str">
        <f>IF(Table134[[#This Row],[Conversion Rate]]&gt;=20%,"High","Low")</f>
        <v>High</v>
      </c>
    </row>
    <row r="188" spans="1:16" x14ac:dyDescent="0.25">
      <c r="A188" s="2">
        <v>45412</v>
      </c>
      <c r="B188" s="2" t="str">
        <f>TEXT(Table134[[#This Row],[Date]],"MMM")</f>
        <v>Apr</v>
      </c>
      <c r="C188">
        <v>72</v>
      </c>
      <c r="D188">
        <v>33</v>
      </c>
      <c r="E188" s="3">
        <v>447.87434449230858</v>
      </c>
      <c r="F188">
        <v>34</v>
      </c>
      <c r="G188" s="6">
        <v>1127.102333327708</v>
      </c>
      <c r="H188" t="s">
        <v>49</v>
      </c>
      <c r="I188" t="s">
        <v>42</v>
      </c>
      <c r="J188" t="str">
        <f>Table134[[#This Row],[First Name]]&amp;" "&amp;Table134[[#This Row],[Last Name]]</f>
        <v>Jane Martinez</v>
      </c>
      <c r="K188" t="s">
        <v>46</v>
      </c>
      <c r="L188" s="5">
        <f>Table134[[#This Row],[Calls Reached]]/Table134[[#This Row],[Total Calls]]</f>
        <v>0.45833333333333331</v>
      </c>
      <c r="M188" s="5">
        <f>Table134[[#This Row],[Deals Closed]]/Table134[[#This Row],[Calls Reached]]</f>
        <v>1.0303030303030303</v>
      </c>
      <c r="N188" s="6">
        <f>IFERROR(Table134[[#This Row],[Deal Value ($)]]/Table134[[#This Row],[Deals Closed]],0)</f>
        <v>33.150068627285528</v>
      </c>
      <c r="O188" s="6">
        <f>Table134[[#This Row],[Deal Value ($)]]/Table134[[#This Row],[Total Calls]]</f>
        <v>15.654199073995946</v>
      </c>
      <c r="P188" t="str">
        <f>IF(Table134[[#This Row],[Conversion Rate]]&gt;=20%,"High","Low")</f>
        <v>High</v>
      </c>
    </row>
    <row r="189" spans="1:16" x14ac:dyDescent="0.25">
      <c r="A189" s="2">
        <v>45413</v>
      </c>
      <c r="B189" s="2" t="str">
        <f>TEXT(Table134[[#This Row],[Date]],"MMM")</f>
        <v>May</v>
      </c>
      <c r="C189">
        <v>97</v>
      </c>
      <c r="D189">
        <v>5</v>
      </c>
      <c r="E189" s="3">
        <v>185.62</v>
      </c>
      <c r="F189">
        <v>4</v>
      </c>
      <c r="G189" s="6">
        <v>1282.81</v>
      </c>
      <c r="H189" t="s">
        <v>24</v>
      </c>
      <c r="I189" t="s">
        <v>36</v>
      </c>
      <c r="J189" t="str">
        <f>Table134[[#This Row],[First Name]]&amp;" "&amp;Table134[[#This Row],[Last Name]]</f>
        <v>Alex Smith</v>
      </c>
      <c r="K189" t="s">
        <v>46</v>
      </c>
      <c r="L189" s="5">
        <f>Table134[[#This Row],[Calls Reached]]/Table134[[#This Row],[Total Calls]]</f>
        <v>5.1546391752577317E-2</v>
      </c>
      <c r="M189" s="5">
        <f>Table134[[#This Row],[Deals Closed]]/Table134[[#This Row],[Calls Reached]]</f>
        <v>0.8</v>
      </c>
      <c r="N189" s="6">
        <f>IFERROR(Table134[[#This Row],[Deal Value ($)]]/Table134[[#This Row],[Deals Closed]],0)</f>
        <v>320.70249999999999</v>
      </c>
      <c r="O189" s="6">
        <f>Table134[[#This Row],[Deal Value ($)]]/Table134[[#This Row],[Total Calls]]</f>
        <v>13.224845360824741</v>
      </c>
      <c r="P189" t="str">
        <f>IF(Table134[[#This Row],[Conversion Rate]]&gt;=20%,"High","Low")</f>
        <v>High</v>
      </c>
    </row>
    <row r="190" spans="1:16" x14ac:dyDescent="0.25">
      <c r="A190" s="2">
        <v>45413</v>
      </c>
      <c r="B190" s="2" t="str">
        <f>TEXT(Table134[[#This Row],[Date]],"MMM")</f>
        <v>May</v>
      </c>
      <c r="C190">
        <v>111</v>
      </c>
      <c r="D190">
        <v>13</v>
      </c>
      <c r="E190" s="3">
        <v>358.31</v>
      </c>
      <c r="F190">
        <v>0</v>
      </c>
      <c r="G190" s="6">
        <v>2811.77</v>
      </c>
      <c r="H190" t="s">
        <v>32</v>
      </c>
      <c r="I190" t="s">
        <v>37</v>
      </c>
      <c r="J190" t="str">
        <f>Table134[[#This Row],[First Name]]&amp;" "&amp;Table134[[#This Row],[Last Name]]</f>
        <v>Craig Johnson</v>
      </c>
      <c r="K190" t="s">
        <v>45</v>
      </c>
      <c r="L190" s="5">
        <f>Table134[[#This Row],[Calls Reached]]/Table134[[#This Row],[Total Calls]]</f>
        <v>0.11711711711711711</v>
      </c>
      <c r="M190" s="5">
        <f>Table134[[#This Row],[Deals Closed]]/Table134[[#This Row],[Calls Reached]]</f>
        <v>0</v>
      </c>
      <c r="N190" s="6">
        <f>IFERROR(Table134[[#This Row],[Deal Value ($)]]/Table134[[#This Row],[Deals Closed]],0)</f>
        <v>0</v>
      </c>
      <c r="O190" s="6">
        <f>Table134[[#This Row],[Deal Value ($)]]/Table134[[#This Row],[Total Calls]]</f>
        <v>25.331261261261261</v>
      </c>
      <c r="P190" t="str">
        <f>IF(Table134[[#This Row],[Conversion Rate]]&gt;=20%,"High","Low")</f>
        <v>Low</v>
      </c>
    </row>
    <row r="191" spans="1:16" x14ac:dyDescent="0.25">
      <c r="A191" s="2">
        <v>45413</v>
      </c>
      <c r="B191" s="2" t="str">
        <f>TEXT(Table134[[#This Row],[Date]],"MMM")</f>
        <v>May</v>
      </c>
      <c r="C191">
        <v>73</v>
      </c>
      <c r="D191">
        <v>8</v>
      </c>
      <c r="E191" s="3">
        <v>175.52</v>
      </c>
      <c r="F191">
        <v>7</v>
      </c>
      <c r="G191" s="6">
        <v>455.32</v>
      </c>
      <c r="H191" t="s">
        <v>31</v>
      </c>
      <c r="I191" t="s">
        <v>44</v>
      </c>
      <c r="J191" t="str">
        <f>Table134[[#This Row],[First Name]]&amp;" "&amp;Table134[[#This Row],[Last Name]]</f>
        <v>Josh Brown</v>
      </c>
      <c r="K191" t="s">
        <v>45</v>
      </c>
      <c r="L191" s="5">
        <f>Table134[[#This Row],[Calls Reached]]/Table134[[#This Row],[Total Calls]]</f>
        <v>0.1095890410958904</v>
      </c>
      <c r="M191" s="5">
        <f>Table134[[#This Row],[Deals Closed]]/Table134[[#This Row],[Calls Reached]]</f>
        <v>0.875</v>
      </c>
      <c r="N191" s="6">
        <f>IFERROR(Table134[[#This Row],[Deal Value ($)]]/Table134[[#This Row],[Deals Closed]],0)</f>
        <v>65.045714285714283</v>
      </c>
      <c r="O191" s="6">
        <f>Table134[[#This Row],[Deal Value ($)]]/Table134[[#This Row],[Total Calls]]</f>
        <v>6.2372602739726029</v>
      </c>
      <c r="P191" t="str">
        <f>IF(Table134[[#This Row],[Conversion Rate]]&gt;=20%,"High","Low")</f>
        <v>High</v>
      </c>
    </row>
    <row r="192" spans="1:16" x14ac:dyDescent="0.25">
      <c r="A192" s="2">
        <v>45413</v>
      </c>
      <c r="B192" s="2" t="str">
        <f>TEXT(Table134[[#This Row],[Date]],"MMM")</f>
        <v>May</v>
      </c>
      <c r="C192">
        <v>105</v>
      </c>
      <c r="D192">
        <v>6</v>
      </c>
      <c r="E192" s="3">
        <v>567.03</v>
      </c>
      <c r="F192">
        <v>1</v>
      </c>
      <c r="G192" s="6">
        <v>3496.65</v>
      </c>
      <c r="H192" t="s">
        <v>30</v>
      </c>
      <c r="I192" t="s">
        <v>39</v>
      </c>
      <c r="J192" t="str">
        <f>Table134[[#This Row],[First Name]]&amp;" "&amp;Table134[[#This Row],[Last Name]]</f>
        <v>Emma Jones</v>
      </c>
      <c r="K192" t="s">
        <v>45</v>
      </c>
      <c r="L192" s="5">
        <f>Table134[[#This Row],[Calls Reached]]/Table134[[#This Row],[Total Calls]]</f>
        <v>5.7142857142857141E-2</v>
      </c>
      <c r="M192" s="5">
        <f>Table134[[#This Row],[Deals Closed]]/Table134[[#This Row],[Calls Reached]]</f>
        <v>0.16666666666666666</v>
      </c>
      <c r="N192" s="6">
        <f>IFERROR(Table134[[#This Row],[Deal Value ($)]]/Table134[[#This Row],[Deals Closed]],0)</f>
        <v>3496.65</v>
      </c>
      <c r="O192" s="6">
        <f>Table134[[#This Row],[Deal Value ($)]]/Table134[[#This Row],[Total Calls]]</f>
        <v>33.301428571428573</v>
      </c>
      <c r="P192" t="str">
        <f>IF(Table134[[#This Row],[Conversion Rate]]&gt;=20%,"High","Low")</f>
        <v>Low</v>
      </c>
    </row>
    <row r="193" spans="1:16" x14ac:dyDescent="0.25">
      <c r="A193" s="2">
        <v>45413</v>
      </c>
      <c r="B193" s="2" t="str">
        <f>TEXT(Table134[[#This Row],[Date]],"MMM")</f>
        <v>May</v>
      </c>
      <c r="C193">
        <v>19</v>
      </c>
      <c r="D193">
        <v>13</v>
      </c>
      <c r="E193" s="3">
        <v>316.23</v>
      </c>
      <c r="F193">
        <v>1</v>
      </c>
      <c r="G193" s="6">
        <v>1598.49</v>
      </c>
      <c r="H193" t="s">
        <v>29</v>
      </c>
      <c r="I193" t="s">
        <v>35</v>
      </c>
      <c r="J193" t="str">
        <f>Table134[[#This Row],[First Name]]&amp;" "&amp;Table134[[#This Row],[Last Name]]</f>
        <v>Grace Garcia</v>
      </c>
      <c r="K193" t="s">
        <v>45</v>
      </c>
      <c r="L193" s="5">
        <f>Table134[[#This Row],[Calls Reached]]/Table134[[#This Row],[Total Calls]]</f>
        <v>0.68421052631578949</v>
      </c>
      <c r="M193" s="5">
        <f>Table134[[#This Row],[Deals Closed]]/Table134[[#This Row],[Calls Reached]]</f>
        <v>7.6923076923076927E-2</v>
      </c>
      <c r="N193" s="6">
        <f>IFERROR(Table134[[#This Row],[Deal Value ($)]]/Table134[[#This Row],[Deals Closed]],0)</f>
        <v>1598.49</v>
      </c>
      <c r="O193" s="6">
        <f>Table134[[#This Row],[Deal Value ($)]]/Table134[[#This Row],[Total Calls]]</f>
        <v>84.131052631578953</v>
      </c>
      <c r="P193" t="str">
        <f>IF(Table134[[#This Row],[Conversion Rate]]&gt;=20%,"High","Low")</f>
        <v>Low</v>
      </c>
    </row>
    <row r="194" spans="1:16" x14ac:dyDescent="0.25">
      <c r="A194" s="2">
        <v>45413</v>
      </c>
      <c r="B194" s="2" t="str">
        <f>TEXT(Table134[[#This Row],[Date]],"MMM")</f>
        <v>May</v>
      </c>
      <c r="C194">
        <v>91</v>
      </c>
      <c r="D194">
        <v>15</v>
      </c>
      <c r="E194" s="3">
        <v>173.03</v>
      </c>
      <c r="F194">
        <v>4</v>
      </c>
      <c r="G194" s="6">
        <v>386.08</v>
      </c>
      <c r="H194" t="s">
        <v>27</v>
      </c>
      <c r="I194" t="s">
        <v>44</v>
      </c>
      <c r="J194" t="str">
        <f>Table134[[#This Row],[First Name]]&amp;" "&amp;Table134[[#This Row],[Last Name]]</f>
        <v>Will Brown</v>
      </c>
      <c r="K194" t="s">
        <v>46</v>
      </c>
      <c r="L194" s="5">
        <f>Table134[[#This Row],[Calls Reached]]/Table134[[#This Row],[Total Calls]]</f>
        <v>0.16483516483516483</v>
      </c>
      <c r="M194" s="5">
        <f>Table134[[#This Row],[Deals Closed]]/Table134[[#This Row],[Calls Reached]]</f>
        <v>0.26666666666666666</v>
      </c>
      <c r="N194" s="6">
        <f>IFERROR(Table134[[#This Row],[Deal Value ($)]]/Table134[[#This Row],[Deals Closed]],0)</f>
        <v>96.52</v>
      </c>
      <c r="O194" s="6">
        <f>Table134[[#This Row],[Deal Value ($)]]/Table134[[#This Row],[Total Calls]]</f>
        <v>4.2426373626373621</v>
      </c>
      <c r="P194" t="str">
        <f>IF(Table134[[#This Row],[Conversion Rate]]&gt;=20%,"High","Low")</f>
        <v>High</v>
      </c>
    </row>
    <row r="195" spans="1:16" x14ac:dyDescent="0.25">
      <c r="A195" s="2">
        <v>45413</v>
      </c>
      <c r="B195" s="2" t="str">
        <f>TEXT(Table134[[#This Row],[Date]],"MMM")</f>
        <v>May</v>
      </c>
      <c r="C195">
        <v>21</v>
      </c>
      <c r="D195">
        <v>14</v>
      </c>
      <c r="E195" s="3">
        <v>472.79</v>
      </c>
      <c r="F195">
        <v>8</v>
      </c>
      <c r="G195" s="6">
        <v>3830.32</v>
      </c>
      <c r="H195" t="s">
        <v>26</v>
      </c>
      <c r="I195" t="s">
        <v>36</v>
      </c>
      <c r="J195" t="str">
        <f>Table134[[#This Row],[First Name]]&amp;" "&amp;Table134[[#This Row],[Last Name]]</f>
        <v>Darren Smith</v>
      </c>
      <c r="K195" t="s">
        <v>46</v>
      </c>
      <c r="L195" s="5">
        <f>Table134[[#This Row],[Calls Reached]]/Table134[[#This Row],[Total Calls]]</f>
        <v>0.66666666666666663</v>
      </c>
      <c r="M195" s="5">
        <f>Table134[[#This Row],[Deals Closed]]/Table134[[#This Row],[Calls Reached]]</f>
        <v>0.5714285714285714</v>
      </c>
      <c r="N195" s="6">
        <f>IFERROR(Table134[[#This Row],[Deal Value ($)]]/Table134[[#This Row],[Deals Closed]],0)</f>
        <v>478.79</v>
      </c>
      <c r="O195" s="6">
        <f>Table134[[#This Row],[Deal Value ($)]]/Table134[[#This Row],[Total Calls]]</f>
        <v>182.3961904761905</v>
      </c>
      <c r="P195" t="str">
        <f>IF(Table134[[#This Row],[Conversion Rate]]&gt;=20%,"High","Low")</f>
        <v>High</v>
      </c>
    </row>
    <row r="196" spans="1:16" x14ac:dyDescent="0.25">
      <c r="A196" s="2">
        <v>45413</v>
      </c>
      <c r="B196" s="2" t="str">
        <f>TEXT(Table134[[#This Row],[Date]],"MMM")</f>
        <v>May</v>
      </c>
      <c r="C196">
        <v>91</v>
      </c>
      <c r="D196">
        <v>7</v>
      </c>
      <c r="E196" s="3">
        <v>89.39</v>
      </c>
      <c r="F196">
        <v>6</v>
      </c>
      <c r="G196" s="6">
        <v>3971.59</v>
      </c>
      <c r="H196" t="s">
        <v>25</v>
      </c>
      <c r="I196" t="s">
        <v>44</v>
      </c>
      <c r="J196" t="str">
        <f>Table134[[#This Row],[First Name]]&amp;" "&amp;Table134[[#This Row],[Last Name]]</f>
        <v>Karol Brown</v>
      </c>
      <c r="K196" t="s">
        <v>45</v>
      </c>
      <c r="L196" s="5">
        <f>Table134[[#This Row],[Calls Reached]]/Table134[[#This Row],[Total Calls]]</f>
        <v>7.6923076923076927E-2</v>
      </c>
      <c r="M196" s="5">
        <f>Table134[[#This Row],[Deals Closed]]/Table134[[#This Row],[Calls Reached]]</f>
        <v>0.8571428571428571</v>
      </c>
      <c r="N196" s="6">
        <f>IFERROR(Table134[[#This Row],[Deal Value ($)]]/Table134[[#This Row],[Deals Closed]],0)</f>
        <v>661.93166666666673</v>
      </c>
      <c r="O196" s="6">
        <f>Table134[[#This Row],[Deal Value ($)]]/Table134[[#This Row],[Total Calls]]</f>
        <v>43.643846153846155</v>
      </c>
      <c r="P196" t="str">
        <f>IF(Table134[[#This Row],[Conversion Rate]]&gt;=20%,"High","Low")</f>
        <v>High</v>
      </c>
    </row>
    <row r="197" spans="1:16" x14ac:dyDescent="0.25">
      <c r="A197" s="2">
        <v>45413</v>
      </c>
      <c r="B197" s="2" t="str">
        <f>TEXT(Table134[[#This Row],[Date]],"MMM")</f>
        <v>May</v>
      </c>
      <c r="C197">
        <v>33</v>
      </c>
      <c r="D197">
        <v>17</v>
      </c>
      <c r="E197" s="3">
        <v>371.65</v>
      </c>
      <c r="F197">
        <v>9</v>
      </c>
      <c r="G197" s="6">
        <v>4068.75</v>
      </c>
      <c r="H197" t="s">
        <v>34</v>
      </c>
      <c r="I197" t="s">
        <v>40</v>
      </c>
      <c r="J197" t="str">
        <f>Table134[[#This Row],[First Name]]&amp;" "&amp;Table134[[#This Row],[Last Name]]</f>
        <v>Mimi Davis</v>
      </c>
      <c r="K197" t="s">
        <v>45</v>
      </c>
      <c r="L197" s="5">
        <f>Table134[[#This Row],[Calls Reached]]/Table134[[#This Row],[Total Calls]]</f>
        <v>0.51515151515151514</v>
      </c>
      <c r="M197" s="5">
        <f>Table134[[#This Row],[Deals Closed]]/Table134[[#This Row],[Calls Reached]]</f>
        <v>0.52941176470588236</v>
      </c>
      <c r="N197" s="6">
        <f>IFERROR(Table134[[#This Row],[Deal Value ($)]]/Table134[[#This Row],[Deals Closed]],0)</f>
        <v>452.08333333333331</v>
      </c>
      <c r="O197" s="6">
        <f>Table134[[#This Row],[Deal Value ($)]]/Table134[[#This Row],[Total Calls]]</f>
        <v>123.29545454545455</v>
      </c>
      <c r="P197" t="str">
        <f>IF(Table134[[#This Row],[Conversion Rate]]&gt;=20%,"High","Low")</f>
        <v>High</v>
      </c>
    </row>
    <row r="198" spans="1:16" x14ac:dyDescent="0.25">
      <c r="A198" s="2">
        <v>45413</v>
      </c>
      <c r="B198" s="2" t="str">
        <f>TEXT(Table134[[#This Row],[Date]],"MMM")</f>
        <v>May</v>
      </c>
      <c r="C198">
        <v>38</v>
      </c>
      <c r="D198">
        <v>12</v>
      </c>
      <c r="E198" s="3">
        <v>556.33000000000004</v>
      </c>
      <c r="F198">
        <v>4</v>
      </c>
      <c r="G198" s="6">
        <v>241.08</v>
      </c>
      <c r="H198" t="s">
        <v>33</v>
      </c>
      <c r="I198" t="s">
        <v>40</v>
      </c>
      <c r="J198" t="str">
        <f>Table134[[#This Row],[First Name]]&amp;" "&amp;Table134[[#This Row],[Last Name]]</f>
        <v>David Davis</v>
      </c>
      <c r="K198" t="s">
        <v>45</v>
      </c>
      <c r="L198" s="5">
        <f>Table134[[#This Row],[Calls Reached]]/Table134[[#This Row],[Total Calls]]</f>
        <v>0.31578947368421051</v>
      </c>
      <c r="M198" s="5">
        <f>Table134[[#This Row],[Deals Closed]]/Table134[[#This Row],[Calls Reached]]</f>
        <v>0.33333333333333331</v>
      </c>
      <c r="N198" s="6">
        <f>IFERROR(Table134[[#This Row],[Deal Value ($)]]/Table134[[#This Row],[Deals Closed]],0)</f>
        <v>60.27</v>
      </c>
      <c r="O198" s="6">
        <f>Table134[[#This Row],[Deal Value ($)]]/Table134[[#This Row],[Total Calls]]</f>
        <v>6.3442105263157895</v>
      </c>
      <c r="P198" t="str">
        <f>IF(Table134[[#This Row],[Conversion Rate]]&gt;=20%,"High","Low")</f>
        <v>High</v>
      </c>
    </row>
    <row r="199" spans="1:16" x14ac:dyDescent="0.25">
      <c r="A199" s="2">
        <v>45413</v>
      </c>
      <c r="B199" s="2" t="str">
        <f>TEXT(Table134[[#This Row],[Date]],"MMM")</f>
        <v>May</v>
      </c>
      <c r="C199">
        <v>50</v>
      </c>
      <c r="D199">
        <v>7</v>
      </c>
      <c r="E199" s="3">
        <v>196.2</v>
      </c>
      <c r="F199">
        <v>2</v>
      </c>
      <c r="G199" s="6">
        <v>592.71</v>
      </c>
      <c r="H199" t="s">
        <v>23</v>
      </c>
      <c r="I199" t="s">
        <v>36</v>
      </c>
      <c r="J199" t="str">
        <f>Table134[[#This Row],[First Name]]&amp;" "&amp;Table134[[#This Row],[Last Name]]</f>
        <v>Melissa Smith</v>
      </c>
      <c r="K199" t="s">
        <v>45</v>
      </c>
      <c r="L199" s="5">
        <f>Table134[[#This Row],[Calls Reached]]/Table134[[#This Row],[Total Calls]]</f>
        <v>0.14000000000000001</v>
      </c>
      <c r="M199" s="5">
        <f>Table134[[#This Row],[Deals Closed]]/Table134[[#This Row],[Calls Reached]]</f>
        <v>0.2857142857142857</v>
      </c>
      <c r="N199" s="6">
        <f>IFERROR(Table134[[#This Row],[Deal Value ($)]]/Table134[[#This Row],[Deals Closed]],0)</f>
        <v>296.35500000000002</v>
      </c>
      <c r="O199" s="6">
        <f>Table134[[#This Row],[Deal Value ($)]]/Table134[[#This Row],[Total Calls]]</f>
        <v>11.854200000000001</v>
      </c>
      <c r="P199" t="str">
        <f>IF(Table134[[#This Row],[Conversion Rate]]&gt;=20%,"High","Low")</f>
        <v>High</v>
      </c>
    </row>
    <row r="200" spans="1:16" x14ac:dyDescent="0.25">
      <c r="A200" s="2">
        <v>45413</v>
      </c>
      <c r="B200" s="2" t="str">
        <f>TEXT(Table134[[#This Row],[Date]],"MMM")</f>
        <v>May</v>
      </c>
      <c r="C200">
        <v>74</v>
      </c>
      <c r="D200">
        <v>20</v>
      </c>
      <c r="E200" s="3">
        <v>623.33000000000004</v>
      </c>
      <c r="F200">
        <v>2</v>
      </c>
      <c r="G200" s="6">
        <v>359.97</v>
      </c>
      <c r="H200" t="s">
        <v>21</v>
      </c>
      <c r="I200" t="s">
        <v>38</v>
      </c>
      <c r="J200" t="str">
        <f>Table134[[#This Row],[First Name]]&amp;" "&amp;Table134[[#This Row],[Last Name]]</f>
        <v>Paul Rodriguez</v>
      </c>
      <c r="K200" t="s">
        <v>45</v>
      </c>
      <c r="L200" s="5">
        <f>Table134[[#This Row],[Calls Reached]]/Table134[[#This Row],[Total Calls]]</f>
        <v>0.27027027027027029</v>
      </c>
      <c r="M200" s="5">
        <f>Table134[[#This Row],[Deals Closed]]/Table134[[#This Row],[Calls Reached]]</f>
        <v>0.1</v>
      </c>
      <c r="N200" s="6">
        <f>IFERROR(Table134[[#This Row],[Deal Value ($)]]/Table134[[#This Row],[Deals Closed]],0)</f>
        <v>179.98500000000001</v>
      </c>
      <c r="O200" s="6">
        <f>Table134[[#This Row],[Deal Value ($)]]/Table134[[#This Row],[Total Calls]]</f>
        <v>4.8644594594594599</v>
      </c>
      <c r="P200" t="str">
        <f>IF(Table134[[#This Row],[Conversion Rate]]&gt;=20%,"High","Low")</f>
        <v>Low</v>
      </c>
    </row>
    <row r="201" spans="1:16" x14ac:dyDescent="0.25">
      <c r="A201" s="2">
        <v>45413</v>
      </c>
      <c r="B201" s="2" t="str">
        <f>TEXT(Table134[[#This Row],[Date]],"MMM")</f>
        <v>May</v>
      </c>
      <c r="C201">
        <v>26</v>
      </c>
      <c r="D201">
        <v>7</v>
      </c>
      <c r="E201" s="3">
        <v>200.45</v>
      </c>
      <c r="F201">
        <v>1</v>
      </c>
      <c r="G201" s="6">
        <v>3797.35</v>
      </c>
      <c r="H201" t="s">
        <v>22</v>
      </c>
      <c r="I201" t="s">
        <v>42</v>
      </c>
      <c r="J201" t="str">
        <f>Table134[[#This Row],[First Name]]&amp;" "&amp;Table134[[#This Row],[Last Name]]</f>
        <v>Ian Martinez</v>
      </c>
      <c r="K201" t="s">
        <v>45</v>
      </c>
      <c r="L201" s="5">
        <f>Table134[[#This Row],[Calls Reached]]/Table134[[#This Row],[Total Calls]]</f>
        <v>0.26923076923076922</v>
      </c>
      <c r="M201" s="5">
        <f>Table134[[#This Row],[Deals Closed]]/Table134[[#This Row],[Calls Reached]]</f>
        <v>0.14285714285714285</v>
      </c>
      <c r="N201" s="6">
        <f>IFERROR(Table134[[#This Row],[Deal Value ($)]]/Table134[[#This Row],[Deals Closed]],0)</f>
        <v>3797.35</v>
      </c>
      <c r="O201" s="6">
        <f>Table134[[#This Row],[Deal Value ($)]]/Table134[[#This Row],[Total Calls]]</f>
        <v>146.05192307692306</v>
      </c>
      <c r="P201" t="str">
        <f>IF(Table134[[#This Row],[Conversion Rate]]&gt;=20%,"High","Low")</f>
        <v>Low</v>
      </c>
    </row>
    <row r="202" spans="1:16" x14ac:dyDescent="0.25">
      <c r="A202" s="2">
        <v>45413</v>
      </c>
      <c r="B202" s="2" t="str">
        <f>TEXT(Table134[[#This Row],[Date]],"MMM")</f>
        <v>May</v>
      </c>
      <c r="C202">
        <v>68</v>
      </c>
      <c r="D202">
        <v>11</v>
      </c>
      <c r="E202" s="3">
        <v>345.62</v>
      </c>
      <c r="F202">
        <v>4</v>
      </c>
      <c r="G202" s="6">
        <v>3558.13</v>
      </c>
      <c r="H202" t="s">
        <v>10</v>
      </c>
      <c r="I202" t="s">
        <v>35</v>
      </c>
      <c r="J202" t="str">
        <f>Table134[[#This Row],[First Name]]&amp;" "&amp;Table134[[#This Row],[Last Name]]</f>
        <v>Alice Garcia</v>
      </c>
      <c r="K202" t="s">
        <v>45</v>
      </c>
      <c r="L202" s="5">
        <f>Table134[[#This Row],[Calls Reached]]/Table134[[#This Row],[Total Calls]]</f>
        <v>0.16176470588235295</v>
      </c>
      <c r="M202" s="5">
        <f>Table134[[#This Row],[Deals Closed]]/Table134[[#This Row],[Calls Reached]]</f>
        <v>0.36363636363636365</v>
      </c>
      <c r="N202" s="6">
        <f>IFERROR(Table134[[#This Row],[Deal Value ($)]]/Table134[[#This Row],[Deals Closed]],0)</f>
        <v>889.53250000000003</v>
      </c>
      <c r="O202" s="6">
        <f>Table134[[#This Row],[Deal Value ($)]]/Table134[[#This Row],[Total Calls]]</f>
        <v>52.325441176470591</v>
      </c>
      <c r="P202" t="str">
        <f>IF(Table134[[#This Row],[Conversion Rate]]&gt;=20%,"High","Low")</f>
        <v>High</v>
      </c>
    </row>
    <row r="203" spans="1:16" x14ac:dyDescent="0.25">
      <c r="A203" s="2">
        <v>45413</v>
      </c>
      <c r="B203" s="2" t="str">
        <f>TEXT(Table134[[#This Row],[Date]],"MMM")</f>
        <v>May</v>
      </c>
      <c r="C203">
        <v>45</v>
      </c>
      <c r="D203">
        <v>17</v>
      </c>
      <c r="E203" s="3">
        <v>416.96</v>
      </c>
      <c r="F203">
        <v>3</v>
      </c>
      <c r="G203" s="6">
        <v>3327.07</v>
      </c>
      <c r="H203" t="s">
        <v>11</v>
      </c>
      <c r="I203" t="s">
        <v>37</v>
      </c>
      <c r="J203" t="str">
        <f>Table134[[#This Row],[First Name]]&amp;" "&amp;Table134[[#This Row],[Last Name]]</f>
        <v>Diana Johnson</v>
      </c>
      <c r="K203" t="s">
        <v>45</v>
      </c>
      <c r="L203" s="5">
        <f>Table134[[#This Row],[Calls Reached]]/Table134[[#This Row],[Total Calls]]</f>
        <v>0.37777777777777777</v>
      </c>
      <c r="M203" s="5">
        <f>Table134[[#This Row],[Deals Closed]]/Table134[[#This Row],[Calls Reached]]</f>
        <v>0.17647058823529413</v>
      </c>
      <c r="N203" s="6">
        <f>IFERROR(Table134[[#This Row],[Deal Value ($)]]/Table134[[#This Row],[Deals Closed]],0)</f>
        <v>1109.0233333333333</v>
      </c>
      <c r="O203" s="6">
        <f>Table134[[#This Row],[Deal Value ($)]]/Table134[[#This Row],[Total Calls]]</f>
        <v>73.934888888888892</v>
      </c>
      <c r="P203" t="str">
        <f>IF(Table134[[#This Row],[Conversion Rate]]&gt;=20%,"High","Low")</f>
        <v>Low</v>
      </c>
    </row>
    <row r="204" spans="1:16" x14ac:dyDescent="0.25">
      <c r="A204" s="2">
        <v>45413</v>
      </c>
      <c r="B204" s="2" t="str">
        <f>TEXT(Table134[[#This Row],[Date]],"MMM")</f>
        <v>May</v>
      </c>
      <c r="C204">
        <v>17</v>
      </c>
      <c r="D204">
        <v>8</v>
      </c>
      <c r="E204" s="3">
        <v>72.05</v>
      </c>
      <c r="F204">
        <v>3</v>
      </c>
      <c r="G204" s="6">
        <v>1672.82</v>
      </c>
      <c r="H204" t="s">
        <v>12</v>
      </c>
      <c r="I204" t="s">
        <v>43</v>
      </c>
      <c r="J204" t="str">
        <f>Table134[[#This Row],[First Name]]&amp;" "&amp;Table134[[#This Row],[Last Name]]</f>
        <v>Jake Williams</v>
      </c>
      <c r="K204" t="s">
        <v>45</v>
      </c>
      <c r="L204" s="5">
        <f>Table134[[#This Row],[Calls Reached]]/Table134[[#This Row],[Total Calls]]</f>
        <v>0.47058823529411764</v>
      </c>
      <c r="M204" s="5">
        <f>Table134[[#This Row],[Deals Closed]]/Table134[[#This Row],[Calls Reached]]</f>
        <v>0.375</v>
      </c>
      <c r="N204" s="6">
        <f>IFERROR(Table134[[#This Row],[Deal Value ($)]]/Table134[[#This Row],[Deals Closed]],0)</f>
        <v>557.60666666666668</v>
      </c>
      <c r="O204" s="6">
        <f>Table134[[#This Row],[Deal Value ($)]]/Table134[[#This Row],[Total Calls]]</f>
        <v>98.401176470588226</v>
      </c>
      <c r="P204" t="str">
        <f>IF(Table134[[#This Row],[Conversion Rate]]&gt;=20%,"High","Low")</f>
        <v>High</v>
      </c>
    </row>
    <row r="205" spans="1:16" x14ac:dyDescent="0.25">
      <c r="A205" s="2">
        <v>45413</v>
      </c>
      <c r="B205" s="2" t="str">
        <f>TEXT(Table134[[#This Row],[Date]],"MMM")</f>
        <v>May</v>
      </c>
      <c r="C205">
        <v>85</v>
      </c>
      <c r="D205">
        <v>13</v>
      </c>
      <c r="E205" s="3">
        <v>475.61</v>
      </c>
      <c r="F205">
        <v>5</v>
      </c>
      <c r="G205" s="6">
        <v>939.32</v>
      </c>
      <c r="H205" t="s">
        <v>13</v>
      </c>
      <c r="I205" t="s">
        <v>44</v>
      </c>
      <c r="J205" t="str">
        <f>Table134[[#This Row],[First Name]]&amp;" "&amp;Table134[[#This Row],[Last Name]]</f>
        <v>Liam Brown</v>
      </c>
      <c r="K205" t="s">
        <v>45</v>
      </c>
      <c r="L205" s="5">
        <f>Table134[[#This Row],[Calls Reached]]/Table134[[#This Row],[Total Calls]]</f>
        <v>0.15294117647058825</v>
      </c>
      <c r="M205" s="5">
        <f>Table134[[#This Row],[Deals Closed]]/Table134[[#This Row],[Calls Reached]]</f>
        <v>0.38461538461538464</v>
      </c>
      <c r="N205" s="6">
        <f>IFERROR(Table134[[#This Row],[Deal Value ($)]]/Table134[[#This Row],[Deals Closed]],0)</f>
        <v>187.864</v>
      </c>
      <c r="O205" s="6">
        <f>Table134[[#This Row],[Deal Value ($)]]/Table134[[#This Row],[Total Calls]]</f>
        <v>11.050823529411765</v>
      </c>
      <c r="P205" t="str">
        <f>IF(Table134[[#This Row],[Conversion Rate]]&gt;=20%,"High","Low")</f>
        <v>High</v>
      </c>
    </row>
    <row r="206" spans="1:16" x14ac:dyDescent="0.25">
      <c r="A206" s="2">
        <v>45413</v>
      </c>
      <c r="B206" s="2" t="str">
        <f>TEXT(Table134[[#This Row],[Date]],"MMM")</f>
        <v>May</v>
      </c>
      <c r="C206">
        <v>49</v>
      </c>
      <c r="D206">
        <v>7</v>
      </c>
      <c r="E206" s="3">
        <v>469.53</v>
      </c>
      <c r="F206">
        <v>3</v>
      </c>
      <c r="G206" s="6">
        <v>3623.32</v>
      </c>
      <c r="H206" t="s">
        <v>14</v>
      </c>
      <c r="I206" t="s">
        <v>39</v>
      </c>
      <c r="J206" t="str">
        <f>Table134[[#This Row],[First Name]]&amp;" "&amp;Table134[[#This Row],[Last Name]]</f>
        <v>Bob Jones</v>
      </c>
      <c r="K206" t="s">
        <v>45</v>
      </c>
      <c r="L206" s="5">
        <f>Table134[[#This Row],[Calls Reached]]/Table134[[#This Row],[Total Calls]]</f>
        <v>0.14285714285714285</v>
      </c>
      <c r="M206" s="5">
        <f>Table134[[#This Row],[Deals Closed]]/Table134[[#This Row],[Calls Reached]]</f>
        <v>0.42857142857142855</v>
      </c>
      <c r="N206" s="6">
        <f>IFERROR(Table134[[#This Row],[Deal Value ($)]]/Table134[[#This Row],[Deals Closed]],0)</f>
        <v>1207.7733333333333</v>
      </c>
      <c r="O206" s="6">
        <f>Table134[[#This Row],[Deal Value ($)]]/Table134[[#This Row],[Total Calls]]</f>
        <v>73.945306122448983</v>
      </c>
      <c r="P206" t="str">
        <f>IF(Table134[[#This Row],[Conversion Rate]]&gt;=20%,"High","Low")</f>
        <v>High</v>
      </c>
    </row>
    <row r="207" spans="1:16" x14ac:dyDescent="0.25">
      <c r="A207" s="2">
        <v>45413</v>
      </c>
      <c r="B207" s="2" t="str">
        <f>TEXT(Table134[[#This Row],[Date]],"MMM")</f>
        <v>May</v>
      </c>
      <c r="C207">
        <v>69</v>
      </c>
      <c r="D207">
        <v>16</v>
      </c>
      <c r="E207" s="3">
        <v>299.22000000000003</v>
      </c>
      <c r="F207">
        <v>6</v>
      </c>
      <c r="G207" s="6">
        <v>3716.14</v>
      </c>
      <c r="H207" t="s">
        <v>9</v>
      </c>
      <c r="I207" t="s">
        <v>35</v>
      </c>
      <c r="J207" t="str">
        <f>Table134[[#This Row],[First Name]]&amp;" "&amp;Table134[[#This Row],[Last Name]]</f>
        <v>Evan Garcia</v>
      </c>
      <c r="K207" t="s">
        <v>45</v>
      </c>
      <c r="L207" s="5">
        <f>Table134[[#This Row],[Calls Reached]]/Table134[[#This Row],[Total Calls]]</f>
        <v>0.2318840579710145</v>
      </c>
      <c r="M207" s="5">
        <f>Table134[[#This Row],[Deals Closed]]/Table134[[#This Row],[Calls Reached]]</f>
        <v>0.375</v>
      </c>
      <c r="N207" s="6">
        <f>IFERROR(Table134[[#This Row],[Deal Value ($)]]/Table134[[#This Row],[Deals Closed]],0)</f>
        <v>619.35666666666668</v>
      </c>
      <c r="O207" s="6">
        <f>Table134[[#This Row],[Deal Value ($)]]/Table134[[#This Row],[Total Calls]]</f>
        <v>53.857101449275362</v>
      </c>
      <c r="P207" t="str">
        <f>IF(Table134[[#This Row],[Conversion Rate]]&gt;=20%,"High","Low")</f>
        <v>High</v>
      </c>
    </row>
    <row r="208" spans="1:16" x14ac:dyDescent="0.25">
      <c r="A208" s="2">
        <v>45413</v>
      </c>
      <c r="B208" s="2" t="str">
        <f>TEXT(Table134[[#This Row],[Date]],"MMM")</f>
        <v>May</v>
      </c>
      <c r="C208">
        <v>63</v>
      </c>
      <c r="D208">
        <v>9</v>
      </c>
      <c r="E208" s="3">
        <v>258.11</v>
      </c>
      <c r="F208">
        <v>7</v>
      </c>
      <c r="G208" s="6">
        <v>4064.36</v>
      </c>
      <c r="H208" t="s">
        <v>16</v>
      </c>
      <c r="I208" t="s">
        <v>42</v>
      </c>
      <c r="J208" t="str">
        <f>Table134[[#This Row],[First Name]]&amp;" "&amp;Table134[[#This Row],[Last Name]]</f>
        <v>Charlie Martinez</v>
      </c>
      <c r="K208" t="s">
        <v>45</v>
      </c>
      <c r="L208" s="5">
        <f>Table134[[#This Row],[Calls Reached]]/Table134[[#This Row],[Total Calls]]</f>
        <v>0.14285714285714285</v>
      </c>
      <c r="M208" s="5">
        <f>Table134[[#This Row],[Deals Closed]]/Table134[[#This Row],[Calls Reached]]</f>
        <v>0.77777777777777779</v>
      </c>
      <c r="N208" s="6">
        <f>IFERROR(Table134[[#This Row],[Deal Value ($)]]/Table134[[#This Row],[Deals Closed]],0)</f>
        <v>580.62285714285713</v>
      </c>
      <c r="O208" s="6">
        <f>Table134[[#This Row],[Deal Value ($)]]/Table134[[#This Row],[Total Calls]]</f>
        <v>64.513650793650797</v>
      </c>
      <c r="P208" t="str">
        <f>IF(Table134[[#This Row],[Conversion Rate]]&gt;=20%,"High","Low")</f>
        <v>High</v>
      </c>
    </row>
    <row r="209" spans="1:16" x14ac:dyDescent="0.25">
      <c r="A209" s="2">
        <v>45413</v>
      </c>
      <c r="B209" s="2" t="str">
        <f>TEXT(Table134[[#This Row],[Date]],"MMM")</f>
        <v>May</v>
      </c>
      <c r="C209">
        <v>66</v>
      </c>
      <c r="D209">
        <v>15</v>
      </c>
      <c r="E209" s="3">
        <v>333.1</v>
      </c>
      <c r="F209">
        <v>2</v>
      </c>
      <c r="G209" s="6">
        <v>2631.58</v>
      </c>
      <c r="H209" t="s">
        <v>15</v>
      </c>
      <c r="I209" t="s">
        <v>40</v>
      </c>
      <c r="J209" t="str">
        <f>Table134[[#This Row],[First Name]]&amp;" "&amp;Table134[[#This Row],[Last Name]]</f>
        <v>Rick Davis</v>
      </c>
      <c r="K209" t="s">
        <v>45</v>
      </c>
      <c r="L209" s="5">
        <f>Table134[[#This Row],[Calls Reached]]/Table134[[#This Row],[Total Calls]]</f>
        <v>0.22727272727272727</v>
      </c>
      <c r="M209" s="5">
        <f>Table134[[#This Row],[Deals Closed]]/Table134[[#This Row],[Calls Reached]]</f>
        <v>0.13333333333333333</v>
      </c>
      <c r="N209" s="6">
        <f>IFERROR(Table134[[#This Row],[Deal Value ($)]]/Table134[[#This Row],[Deals Closed]],0)</f>
        <v>1315.79</v>
      </c>
      <c r="O209" s="6">
        <f>Table134[[#This Row],[Deal Value ($)]]/Table134[[#This Row],[Total Calls]]</f>
        <v>39.872424242424245</v>
      </c>
      <c r="P209" t="str">
        <f>IF(Table134[[#This Row],[Conversion Rate]]&gt;=20%,"High","Low")</f>
        <v>Low</v>
      </c>
    </row>
    <row r="210" spans="1:16" x14ac:dyDescent="0.25">
      <c r="A210" s="2">
        <v>45413</v>
      </c>
      <c r="B210" s="2" t="str">
        <f>TEXT(Table134[[#This Row],[Date]],"MMM")</f>
        <v>May</v>
      </c>
      <c r="C210">
        <v>35</v>
      </c>
      <c r="D210">
        <v>6</v>
      </c>
      <c r="E210" s="3">
        <v>553.11</v>
      </c>
      <c r="F210">
        <v>4</v>
      </c>
      <c r="G210" s="6">
        <v>3867.67</v>
      </c>
      <c r="H210" t="s">
        <v>20</v>
      </c>
      <c r="I210" t="s">
        <v>39</v>
      </c>
      <c r="J210" t="str">
        <f>Table134[[#This Row],[First Name]]&amp;" "&amp;Table134[[#This Row],[Last Name]]</f>
        <v>Richard Jones</v>
      </c>
      <c r="K210" t="s">
        <v>46</v>
      </c>
      <c r="L210" s="5">
        <f>Table134[[#This Row],[Calls Reached]]/Table134[[#This Row],[Total Calls]]</f>
        <v>0.17142857142857143</v>
      </c>
      <c r="M210" s="5">
        <f>Table134[[#This Row],[Deals Closed]]/Table134[[#This Row],[Calls Reached]]</f>
        <v>0.66666666666666663</v>
      </c>
      <c r="N210" s="6">
        <f>IFERROR(Table134[[#This Row],[Deal Value ($)]]/Table134[[#This Row],[Deals Closed]],0)</f>
        <v>966.91750000000002</v>
      </c>
      <c r="O210" s="6">
        <f>Table134[[#This Row],[Deal Value ($)]]/Table134[[#This Row],[Total Calls]]</f>
        <v>110.50485714285715</v>
      </c>
      <c r="P210" t="str">
        <f>IF(Table134[[#This Row],[Conversion Rate]]&gt;=20%,"High","Low")</f>
        <v>High</v>
      </c>
    </row>
    <row r="211" spans="1:16" x14ac:dyDescent="0.25">
      <c r="A211" s="2">
        <v>45413</v>
      </c>
      <c r="B211" s="2" t="str">
        <f>TEXT(Table134[[#This Row],[Date]],"MMM")</f>
        <v>May</v>
      </c>
      <c r="C211">
        <v>67</v>
      </c>
      <c r="D211">
        <v>15</v>
      </c>
      <c r="E211" s="3">
        <v>499.68</v>
      </c>
      <c r="F211">
        <v>0</v>
      </c>
      <c r="G211" s="6">
        <v>1287.1300000000001</v>
      </c>
      <c r="H211" t="s">
        <v>28</v>
      </c>
      <c r="I211" t="s">
        <v>40</v>
      </c>
      <c r="J211" t="str">
        <f>Table134[[#This Row],[First Name]]&amp;" "&amp;Table134[[#This Row],[Last Name]]</f>
        <v>Vicky Davis</v>
      </c>
      <c r="K211" t="s">
        <v>45</v>
      </c>
      <c r="L211" s="5">
        <f>Table134[[#This Row],[Calls Reached]]/Table134[[#This Row],[Total Calls]]</f>
        <v>0.22388059701492538</v>
      </c>
      <c r="M211" s="5">
        <f>Table134[[#This Row],[Deals Closed]]/Table134[[#This Row],[Calls Reached]]</f>
        <v>0</v>
      </c>
      <c r="N211" s="6">
        <f>IFERROR(Table134[[#This Row],[Deal Value ($)]]/Table134[[#This Row],[Deals Closed]],0)</f>
        <v>0</v>
      </c>
      <c r="O211" s="6">
        <f>Table134[[#This Row],[Deal Value ($)]]/Table134[[#This Row],[Total Calls]]</f>
        <v>19.210895522388061</v>
      </c>
      <c r="P211" t="str">
        <f>IF(Table134[[#This Row],[Conversion Rate]]&gt;=20%,"High","Low")</f>
        <v>Low</v>
      </c>
    </row>
    <row r="212" spans="1:16" x14ac:dyDescent="0.25">
      <c r="A212" s="2">
        <v>45413</v>
      </c>
      <c r="B212" s="2" t="str">
        <f>TEXT(Table134[[#This Row],[Date]],"MMM")</f>
        <v>May</v>
      </c>
      <c r="C212">
        <v>75</v>
      </c>
      <c r="D212">
        <v>19</v>
      </c>
      <c r="E212" s="3">
        <v>343.28</v>
      </c>
      <c r="F212">
        <v>9</v>
      </c>
      <c r="G212" s="6">
        <v>899.46</v>
      </c>
      <c r="H212" t="s">
        <v>18</v>
      </c>
      <c r="I212" t="s">
        <v>37</v>
      </c>
      <c r="J212" t="str">
        <f>Table134[[#This Row],[First Name]]&amp;" "&amp;Table134[[#This Row],[Last Name]]</f>
        <v>Chris Johnson</v>
      </c>
      <c r="K212" t="s">
        <v>46</v>
      </c>
      <c r="L212" s="5">
        <f>Table134[[#This Row],[Calls Reached]]/Table134[[#This Row],[Total Calls]]</f>
        <v>0.25333333333333335</v>
      </c>
      <c r="M212" s="5">
        <f>Table134[[#This Row],[Deals Closed]]/Table134[[#This Row],[Calls Reached]]</f>
        <v>0.47368421052631576</v>
      </c>
      <c r="N212" s="6">
        <f>IFERROR(Table134[[#This Row],[Deal Value ($)]]/Table134[[#This Row],[Deals Closed]],0)</f>
        <v>99.94</v>
      </c>
      <c r="O212" s="6">
        <f>Table134[[#This Row],[Deal Value ($)]]/Table134[[#This Row],[Total Calls]]</f>
        <v>11.992800000000001</v>
      </c>
      <c r="P212" t="str">
        <f>IF(Table134[[#This Row],[Conversion Rate]]&gt;=20%,"High","Low")</f>
        <v>High</v>
      </c>
    </row>
    <row r="213" spans="1:16" x14ac:dyDescent="0.25">
      <c r="A213" s="2">
        <v>45413</v>
      </c>
      <c r="B213" s="2" t="str">
        <f>TEXT(Table134[[#This Row],[Date]],"MMM")</f>
        <v>May</v>
      </c>
      <c r="C213">
        <v>31</v>
      </c>
      <c r="D213">
        <v>20</v>
      </c>
      <c r="E213" s="3">
        <v>400.8</v>
      </c>
      <c r="F213">
        <v>8</v>
      </c>
      <c r="G213" s="6">
        <v>1294.3599999999999</v>
      </c>
      <c r="H213" t="s">
        <v>17</v>
      </c>
      <c r="I213" t="s">
        <v>43</v>
      </c>
      <c r="J213" t="str">
        <f>Table134[[#This Row],[First Name]]&amp;" "&amp;Table134[[#This Row],[Last Name]]</f>
        <v>Molly Williams</v>
      </c>
      <c r="K213" t="s">
        <v>45</v>
      </c>
      <c r="L213" s="5">
        <f>Table134[[#This Row],[Calls Reached]]/Table134[[#This Row],[Total Calls]]</f>
        <v>0.64516129032258063</v>
      </c>
      <c r="M213" s="5">
        <f>Table134[[#This Row],[Deals Closed]]/Table134[[#This Row],[Calls Reached]]</f>
        <v>0.4</v>
      </c>
      <c r="N213" s="6">
        <f>IFERROR(Table134[[#This Row],[Deal Value ($)]]/Table134[[#This Row],[Deals Closed]],0)</f>
        <v>161.79499999999999</v>
      </c>
      <c r="O213" s="6">
        <f>Table134[[#This Row],[Deal Value ($)]]/Table134[[#This Row],[Total Calls]]</f>
        <v>41.753548387096771</v>
      </c>
      <c r="P213" t="str">
        <f>IF(Table134[[#This Row],[Conversion Rate]]&gt;=20%,"High","Low")</f>
        <v>High</v>
      </c>
    </row>
    <row r="214" spans="1:16" x14ac:dyDescent="0.25">
      <c r="A214" s="2">
        <v>45413</v>
      </c>
      <c r="B214" s="2" t="str">
        <f>TEXT(Table134[[#This Row],[Date]],"MMM")</f>
        <v>May</v>
      </c>
      <c r="C214">
        <v>18</v>
      </c>
      <c r="D214">
        <v>7</v>
      </c>
      <c r="E214" s="3">
        <v>204.63</v>
      </c>
      <c r="F214">
        <v>7</v>
      </c>
      <c r="G214" s="6">
        <v>789.77</v>
      </c>
      <c r="H214" t="s">
        <v>19</v>
      </c>
      <c r="I214" t="s">
        <v>36</v>
      </c>
      <c r="J214" t="str">
        <f>Table134[[#This Row],[First Name]]&amp;" "&amp;Table134[[#This Row],[Last Name]]</f>
        <v>James Smith</v>
      </c>
      <c r="K214" t="s">
        <v>45</v>
      </c>
      <c r="L214" s="5">
        <f>Table134[[#This Row],[Calls Reached]]/Table134[[#This Row],[Total Calls]]</f>
        <v>0.3888888888888889</v>
      </c>
      <c r="M214" s="5">
        <f>Table134[[#This Row],[Deals Closed]]/Table134[[#This Row],[Calls Reached]]</f>
        <v>1</v>
      </c>
      <c r="N214" s="6">
        <f>IFERROR(Table134[[#This Row],[Deal Value ($)]]/Table134[[#This Row],[Deals Closed]],0)</f>
        <v>112.82428571428571</v>
      </c>
      <c r="O214" s="6">
        <f>Table134[[#This Row],[Deal Value ($)]]/Table134[[#This Row],[Total Calls]]</f>
        <v>43.876111111111108</v>
      </c>
      <c r="P214" t="str">
        <f>IF(Table134[[#This Row],[Conversion Rate]]&gt;=20%,"High","Low")</f>
        <v>High</v>
      </c>
    </row>
    <row r="215" spans="1:16" x14ac:dyDescent="0.25">
      <c r="A215" s="2">
        <v>45414</v>
      </c>
      <c r="B215" s="2" t="str">
        <f>TEXT(Table134[[#This Row],[Date]],"MMM")</f>
        <v>May</v>
      </c>
      <c r="C215">
        <v>89</v>
      </c>
      <c r="D215">
        <v>55</v>
      </c>
      <c r="E215" s="3">
        <v>327.27053238388658</v>
      </c>
      <c r="F215">
        <v>29</v>
      </c>
      <c r="G215" s="6">
        <v>4257.1860655968467</v>
      </c>
      <c r="H215" t="s">
        <v>10</v>
      </c>
      <c r="I215" t="s">
        <v>40</v>
      </c>
      <c r="J215" t="str">
        <f>Table134[[#This Row],[First Name]]&amp;" "&amp;Table134[[#This Row],[Last Name]]</f>
        <v>Alice Davis</v>
      </c>
      <c r="K215" t="s">
        <v>45</v>
      </c>
      <c r="L215" s="5">
        <f>Table134[[#This Row],[Calls Reached]]/Table134[[#This Row],[Total Calls]]</f>
        <v>0.6179775280898876</v>
      </c>
      <c r="M215" s="5">
        <f>Table134[[#This Row],[Deals Closed]]/Table134[[#This Row],[Calls Reached]]</f>
        <v>0.52727272727272723</v>
      </c>
      <c r="N215" s="6">
        <f>IFERROR(Table134[[#This Row],[Deal Value ($)]]/Table134[[#This Row],[Deals Closed]],0)</f>
        <v>146.79951950333955</v>
      </c>
      <c r="O215" s="6">
        <f>Table134[[#This Row],[Deal Value ($)]]/Table134[[#This Row],[Total Calls]]</f>
        <v>47.833551298840973</v>
      </c>
      <c r="P215" t="str">
        <f>IF(Table134[[#This Row],[Conversion Rate]]&gt;=20%,"High","Low")</f>
        <v>High</v>
      </c>
    </row>
    <row r="216" spans="1:16" x14ac:dyDescent="0.25">
      <c r="A216" s="2">
        <v>45415</v>
      </c>
      <c r="B216" s="2" t="str">
        <f>TEXT(Table134[[#This Row],[Date]],"MMM")</f>
        <v>May</v>
      </c>
      <c r="C216">
        <v>70</v>
      </c>
      <c r="D216">
        <v>62</v>
      </c>
      <c r="E216" s="3">
        <v>413.77904004203168</v>
      </c>
      <c r="F216">
        <v>30</v>
      </c>
      <c r="G216" s="6">
        <v>4929.8098131659845</v>
      </c>
      <c r="H216" t="s">
        <v>18</v>
      </c>
      <c r="I216" t="s">
        <v>43</v>
      </c>
      <c r="J216" t="str">
        <f>Table134[[#This Row],[First Name]]&amp;" "&amp;Table134[[#This Row],[Last Name]]</f>
        <v>Chris Williams</v>
      </c>
      <c r="K216" t="s">
        <v>45</v>
      </c>
      <c r="L216" s="5">
        <f>Table134[[#This Row],[Calls Reached]]/Table134[[#This Row],[Total Calls]]</f>
        <v>0.88571428571428568</v>
      </c>
      <c r="M216" s="5">
        <f>Table134[[#This Row],[Deals Closed]]/Table134[[#This Row],[Calls Reached]]</f>
        <v>0.4838709677419355</v>
      </c>
      <c r="N216" s="6">
        <f>IFERROR(Table134[[#This Row],[Deal Value ($)]]/Table134[[#This Row],[Deals Closed]],0)</f>
        <v>164.32699377219947</v>
      </c>
      <c r="O216" s="6">
        <f>Table134[[#This Row],[Deal Value ($)]]/Table134[[#This Row],[Total Calls]]</f>
        <v>70.425854473799774</v>
      </c>
      <c r="P216" t="str">
        <f>IF(Table134[[#This Row],[Conversion Rate]]&gt;=20%,"High","Low")</f>
        <v>High</v>
      </c>
    </row>
    <row r="217" spans="1:16" x14ac:dyDescent="0.25">
      <c r="A217" s="2">
        <v>45418</v>
      </c>
      <c r="B217" s="2" t="str">
        <f>TEXT(Table134[[#This Row],[Date]],"MMM")</f>
        <v>May</v>
      </c>
      <c r="C217">
        <v>65</v>
      </c>
      <c r="D217">
        <v>69</v>
      </c>
      <c r="E217" s="3">
        <v>392.15715596155007</v>
      </c>
      <c r="F217">
        <v>4</v>
      </c>
      <c r="G217" s="6">
        <v>2865.605820362086</v>
      </c>
      <c r="H217" t="s">
        <v>9</v>
      </c>
      <c r="I217" t="s">
        <v>35</v>
      </c>
      <c r="J217" t="str">
        <f>Table134[[#This Row],[First Name]]&amp;" "&amp;Table134[[#This Row],[Last Name]]</f>
        <v>Evan Garcia</v>
      </c>
      <c r="K217" t="s">
        <v>45</v>
      </c>
      <c r="L217" s="5">
        <f>Table134[[#This Row],[Calls Reached]]/Table134[[#This Row],[Total Calls]]</f>
        <v>1.0615384615384615</v>
      </c>
      <c r="M217" s="5">
        <f>Table134[[#This Row],[Deals Closed]]/Table134[[#This Row],[Calls Reached]]</f>
        <v>5.7971014492753624E-2</v>
      </c>
      <c r="N217" s="6">
        <f>IFERROR(Table134[[#This Row],[Deal Value ($)]]/Table134[[#This Row],[Deals Closed]],0)</f>
        <v>716.40145509052149</v>
      </c>
      <c r="O217" s="6">
        <f>Table134[[#This Row],[Deal Value ($)]]/Table134[[#This Row],[Total Calls]]</f>
        <v>44.086243390185935</v>
      </c>
      <c r="P217" t="str">
        <f>IF(Table134[[#This Row],[Conversion Rate]]&gt;=20%,"High","Low")</f>
        <v>Low</v>
      </c>
    </row>
    <row r="218" spans="1:16" x14ac:dyDescent="0.25">
      <c r="A218" s="2">
        <v>45419</v>
      </c>
      <c r="B218" s="2" t="str">
        <f>TEXT(Table134[[#This Row],[Date]],"MMM")</f>
        <v>May</v>
      </c>
      <c r="C218">
        <v>94</v>
      </c>
      <c r="D218">
        <v>72</v>
      </c>
      <c r="E218" s="3">
        <v>550.5790052454945</v>
      </c>
      <c r="F218">
        <v>13</v>
      </c>
      <c r="G218" s="6">
        <v>1272.556786317366</v>
      </c>
      <c r="H218" t="s">
        <v>9</v>
      </c>
      <c r="I218" t="s">
        <v>36</v>
      </c>
      <c r="J218" t="str">
        <f>Table134[[#This Row],[First Name]]&amp;" "&amp;Table134[[#This Row],[Last Name]]</f>
        <v>Evan Smith</v>
      </c>
      <c r="K218" t="s">
        <v>46</v>
      </c>
      <c r="L218" s="5">
        <f>Table134[[#This Row],[Calls Reached]]/Table134[[#This Row],[Total Calls]]</f>
        <v>0.76595744680851063</v>
      </c>
      <c r="M218" s="5">
        <f>Table134[[#This Row],[Deals Closed]]/Table134[[#This Row],[Calls Reached]]</f>
        <v>0.18055555555555555</v>
      </c>
      <c r="N218" s="6">
        <f>IFERROR(Table134[[#This Row],[Deal Value ($)]]/Table134[[#This Row],[Deals Closed]],0)</f>
        <v>97.888983562874301</v>
      </c>
      <c r="O218" s="6">
        <f>Table134[[#This Row],[Deal Value ($)]]/Table134[[#This Row],[Total Calls]]</f>
        <v>13.537838152312405</v>
      </c>
      <c r="P218" t="str">
        <f>IF(Table134[[#This Row],[Conversion Rate]]&gt;=20%,"High","Low")</f>
        <v>Low</v>
      </c>
    </row>
    <row r="219" spans="1:16" x14ac:dyDescent="0.25">
      <c r="A219" s="2">
        <v>45420</v>
      </c>
      <c r="B219" s="2" t="str">
        <f>TEXT(Table134[[#This Row],[Date]],"MMM")</f>
        <v>May</v>
      </c>
      <c r="C219">
        <v>67</v>
      </c>
      <c r="D219">
        <v>41</v>
      </c>
      <c r="E219" s="3">
        <v>122.7231901707289</v>
      </c>
      <c r="F219">
        <v>10</v>
      </c>
      <c r="G219" s="6">
        <v>1725.3829693371599</v>
      </c>
      <c r="H219" t="s">
        <v>47</v>
      </c>
      <c r="I219" t="s">
        <v>36</v>
      </c>
      <c r="J219" t="str">
        <f>Table134[[#This Row],[First Name]]&amp;" "&amp;Table134[[#This Row],[Last Name]]</f>
        <v>John Smith</v>
      </c>
      <c r="K219" t="s">
        <v>46</v>
      </c>
      <c r="L219" s="5">
        <f>Table134[[#This Row],[Calls Reached]]/Table134[[#This Row],[Total Calls]]</f>
        <v>0.61194029850746268</v>
      </c>
      <c r="M219" s="5">
        <f>Table134[[#This Row],[Deals Closed]]/Table134[[#This Row],[Calls Reached]]</f>
        <v>0.24390243902439024</v>
      </c>
      <c r="N219" s="6">
        <f>IFERROR(Table134[[#This Row],[Deal Value ($)]]/Table134[[#This Row],[Deals Closed]],0)</f>
        <v>172.538296933716</v>
      </c>
      <c r="O219" s="6">
        <f>Table134[[#This Row],[Deal Value ($)]]/Table134[[#This Row],[Total Calls]]</f>
        <v>25.751984616972535</v>
      </c>
      <c r="P219" t="str">
        <f>IF(Table134[[#This Row],[Conversion Rate]]&gt;=20%,"High","Low")</f>
        <v>High</v>
      </c>
    </row>
    <row r="220" spans="1:16" x14ac:dyDescent="0.25">
      <c r="A220" s="2">
        <v>45421</v>
      </c>
      <c r="B220" s="2" t="str">
        <f>TEXT(Table134[[#This Row],[Date]],"MMM")</f>
        <v>May</v>
      </c>
      <c r="C220">
        <v>96</v>
      </c>
      <c r="D220">
        <v>42</v>
      </c>
      <c r="E220" s="3">
        <v>240.48159479611519</v>
      </c>
      <c r="F220">
        <v>8</v>
      </c>
      <c r="G220" s="6">
        <v>582.7580444636003</v>
      </c>
      <c r="H220" t="s">
        <v>34</v>
      </c>
      <c r="I220" t="s">
        <v>44</v>
      </c>
      <c r="J220" t="str">
        <f>Table134[[#This Row],[First Name]]&amp;" "&amp;Table134[[#This Row],[Last Name]]</f>
        <v>Mimi Brown</v>
      </c>
      <c r="K220" t="s">
        <v>45</v>
      </c>
      <c r="L220" s="5">
        <f>Table134[[#This Row],[Calls Reached]]/Table134[[#This Row],[Total Calls]]</f>
        <v>0.4375</v>
      </c>
      <c r="M220" s="5">
        <f>Table134[[#This Row],[Deals Closed]]/Table134[[#This Row],[Calls Reached]]</f>
        <v>0.19047619047619047</v>
      </c>
      <c r="N220" s="6">
        <f>IFERROR(Table134[[#This Row],[Deal Value ($)]]/Table134[[#This Row],[Deals Closed]],0)</f>
        <v>72.844755557950037</v>
      </c>
      <c r="O220" s="6">
        <f>Table134[[#This Row],[Deal Value ($)]]/Table134[[#This Row],[Total Calls]]</f>
        <v>6.0703962964958365</v>
      </c>
      <c r="P220" t="str">
        <f>IF(Table134[[#This Row],[Conversion Rate]]&gt;=20%,"High","Low")</f>
        <v>Low</v>
      </c>
    </row>
    <row r="221" spans="1:16" x14ac:dyDescent="0.25">
      <c r="A221" s="2">
        <v>45422</v>
      </c>
      <c r="B221" s="2" t="str">
        <f>TEXT(Table134[[#This Row],[Date]],"MMM")</f>
        <v>May</v>
      </c>
      <c r="C221">
        <v>73</v>
      </c>
      <c r="D221">
        <v>76</v>
      </c>
      <c r="E221" s="3">
        <v>575.20574203827937</v>
      </c>
      <c r="F221">
        <v>33</v>
      </c>
      <c r="G221" s="6">
        <v>4614.3446295222457</v>
      </c>
      <c r="H221" t="s">
        <v>10</v>
      </c>
      <c r="I221" t="s">
        <v>42</v>
      </c>
      <c r="J221" t="str">
        <f>Table134[[#This Row],[First Name]]&amp;" "&amp;Table134[[#This Row],[Last Name]]</f>
        <v>Alice Martinez</v>
      </c>
      <c r="K221" t="s">
        <v>46</v>
      </c>
      <c r="L221" s="5">
        <f>Table134[[#This Row],[Calls Reached]]/Table134[[#This Row],[Total Calls]]</f>
        <v>1.0410958904109588</v>
      </c>
      <c r="M221" s="5">
        <f>Table134[[#This Row],[Deals Closed]]/Table134[[#This Row],[Calls Reached]]</f>
        <v>0.43421052631578949</v>
      </c>
      <c r="N221" s="6">
        <f>IFERROR(Table134[[#This Row],[Deal Value ($)]]/Table134[[#This Row],[Deals Closed]],0)</f>
        <v>139.82862513703776</v>
      </c>
      <c r="O221" s="6">
        <f>Table134[[#This Row],[Deal Value ($)]]/Table134[[#This Row],[Total Calls]]</f>
        <v>63.210200404414323</v>
      </c>
      <c r="P221" t="str">
        <f>IF(Table134[[#This Row],[Conversion Rate]]&gt;=20%,"High","Low")</f>
        <v>High</v>
      </c>
    </row>
    <row r="222" spans="1:16" x14ac:dyDescent="0.25">
      <c r="A222" s="2">
        <v>45425</v>
      </c>
      <c r="B222" s="2" t="str">
        <f>TEXT(Table134[[#This Row],[Date]],"MMM")</f>
        <v>May</v>
      </c>
      <c r="C222">
        <v>75</v>
      </c>
      <c r="D222">
        <v>27</v>
      </c>
      <c r="E222" s="3">
        <v>545.13189194545816</v>
      </c>
      <c r="F222">
        <v>11</v>
      </c>
      <c r="G222" s="6">
        <v>1029.8798730056351</v>
      </c>
      <c r="H222" t="s">
        <v>18</v>
      </c>
      <c r="I222" t="s">
        <v>36</v>
      </c>
      <c r="J222" t="str">
        <f>Table134[[#This Row],[First Name]]&amp;" "&amp;Table134[[#This Row],[Last Name]]</f>
        <v>Chris Smith</v>
      </c>
      <c r="K222" t="s">
        <v>45</v>
      </c>
      <c r="L222" s="5">
        <f>Table134[[#This Row],[Calls Reached]]/Table134[[#This Row],[Total Calls]]</f>
        <v>0.36</v>
      </c>
      <c r="M222" s="5">
        <f>Table134[[#This Row],[Deals Closed]]/Table134[[#This Row],[Calls Reached]]</f>
        <v>0.40740740740740738</v>
      </c>
      <c r="N222" s="6">
        <f>IFERROR(Table134[[#This Row],[Deal Value ($)]]/Table134[[#This Row],[Deals Closed]],0)</f>
        <v>93.625443000512277</v>
      </c>
      <c r="O222" s="6">
        <f>Table134[[#This Row],[Deal Value ($)]]/Table134[[#This Row],[Total Calls]]</f>
        <v>13.731731640075134</v>
      </c>
      <c r="P222" t="str">
        <f>IF(Table134[[#This Row],[Conversion Rate]]&gt;=20%,"High","Low")</f>
        <v>High</v>
      </c>
    </row>
    <row r="223" spans="1:16" x14ac:dyDescent="0.25">
      <c r="A223" s="2">
        <v>45426</v>
      </c>
      <c r="B223" s="2" t="str">
        <f>TEXT(Table134[[#This Row],[Date]],"MMM")</f>
        <v>May</v>
      </c>
      <c r="C223">
        <v>74</v>
      </c>
      <c r="D223">
        <v>34</v>
      </c>
      <c r="E223" s="3">
        <v>327.82837639285651</v>
      </c>
      <c r="F223">
        <v>34</v>
      </c>
      <c r="G223" s="6">
        <v>3094.3241398141408</v>
      </c>
      <c r="H223" t="s">
        <v>10</v>
      </c>
      <c r="I223" t="s">
        <v>40</v>
      </c>
      <c r="J223" t="str">
        <f>Table134[[#This Row],[First Name]]&amp;" "&amp;Table134[[#This Row],[Last Name]]</f>
        <v>Alice Davis</v>
      </c>
      <c r="K223" t="s">
        <v>45</v>
      </c>
      <c r="L223" s="5">
        <f>Table134[[#This Row],[Calls Reached]]/Table134[[#This Row],[Total Calls]]</f>
        <v>0.45945945945945948</v>
      </c>
      <c r="M223" s="5">
        <f>Table134[[#This Row],[Deals Closed]]/Table134[[#This Row],[Calls Reached]]</f>
        <v>1</v>
      </c>
      <c r="N223" s="6">
        <f>IFERROR(Table134[[#This Row],[Deal Value ($)]]/Table134[[#This Row],[Deals Closed]],0)</f>
        <v>91.009533523945322</v>
      </c>
      <c r="O223" s="6">
        <f>Table134[[#This Row],[Deal Value ($)]]/Table134[[#This Row],[Total Calls]]</f>
        <v>41.81519107856947</v>
      </c>
      <c r="P223" t="str">
        <f>IF(Table134[[#This Row],[Conversion Rate]]&gt;=20%,"High","Low")</f>
        <v>High</v>
      </c>
    </row>
    <row r="224" spans="1:16" x14ac:dyDescent="0.25">
      <c r="A224" s="2">
        <v>45427</v>
      </c>
      <c r="B224" s="2" t="str">
        <f>TEXT(Table134[[#This Row],[Date]],"MMM")</f>
        <v>May</v>
      </c>
      <c r="C224">
        <v>94</v>
      </c>
      <c r="D224">
        <v>63</v>
      </c>
      <c r="E224" s="3">
        <v>410.06629890076829</v>
      </c>
      <c r="F224">
        <v>34</v>
      </c>
      <c r="G224" s="6">
        <v>1733.248493092427</v>
      </c>
      <c r="H224" t="s">
        <v>10</v>
      </c>
      <c r="I224" t="s">
        <v>43</v>
      </c>
      <c r="J224" t="str">
        <f>Table134[[#This Row],[First Name]]&amp;" "&amp;Table134[[#This Row],[Last Name]]</f>
        <v>Alice Williams</v>
      </c>
      <c r="K224" t="s">
        <v>46</v>
      </c>
      <c r="L224" s="5">
        <f>Table134[[#This Row],[Calls Reached]]/Table134[[#This Row],[Total Calls]]</f>
        <v>0.67021276595744683</v>
      </c>
      <c r="M224" s="5">
        <f>Table134[[#This Row],[Deals Closed]]/Table134[[#This Row],[Calls Reached]]</f>
        <v>0.53968253968253965</v>
      </c>
      <c r="N224" s="6">
        <f>IFERROR(Table134[[#This Row],[Deal Value ($)]]/Table134[[#This Row],[Deals Closed]],0)</f>
        <v>50.977896855659615</v>
      </c>
      <c r="O224" s="6">
        <f>Table134[[#This Row],[Deal Value ($)]]/Table134[[#This Row],[Total Calls]]</f>
        <v>18.438813756302416</v>
      </c>
      <c r="P224" t="str">
        <f>IF(Table134[[#This Row],[Conversion Rate]]&gt;=20%,"High","Low")</f>
        <v>High</v>
      </c>
    </row>
    <row r="225" spans="1:16" x14ac:dyDescent="0.25">
      <c r="A225" s="2">
        <v>45428</v>
      </c>
      <c r="B225" s="2" t="str">
        <f>TEXT(Table134[[#This Row],[Date]],"MMM")</f>
        <v>May</v>
      </c>
      <c r="C225">
        <v>90</v>
      </c>
      <c r="D225">
        <v>67</v>
      </c>
      <c r="E225" s="3">
        <v>238.69059149056631</v>
      </c>
      <c r="F225">
        <v>0</v>
      </c>
      <c r="G225" s="6">
        <v>2993.8010113210698</v>
      </c>
      <c r="H225" t="s">
        <v>48</v>
      </c>
      <c r="I225" t="s">
        <v>42</v>
      </c>
      <c r="J225" t="str">
        <f>Table134[[#This Row],[First Name]]&amp;" "&amp;Table134[[#This Row],[Last Name]]</f>
        <v>Anna Martinez</v>
      </c>
      <c r="K225" t="s">
        <v>46</v>
      </c>
      <c r="L225" s="5">
        <f>Table134[[#This Row],[Calls Reached]]/Table134[[#This Row],[Total Calls]]</f>
        <v>0.74444444444444446</v>
      </c>
      <c r="M225" s="5">
        <f>Table134[[#This Row],[Deals Closed]]/Table134[[#This Row],[Calls Reached]]</f>
        <v>0</v>
      </c>
      <c r="N225" s="6">
        <f>IFERROR(Table134[[#This Row],[Deal Value ($)]]/Table134[[#This Row],[Deals Closed]],0)</f>
        <v>0</v>
      </c>
      <c r="O225" s="6">
        <f>Table134[[#This Row],[Deal Value ($)]]/Table134[[#This Row],[Total Calls]]</f>
        <v>33.264455681345218</v>
      </c>
      <c r="P225" t="str">
        <f>IF(Table134[[#This Row],[Conversion Rate]]&gt;=20%,"High","Low")</f>
        <v>Low</v>
      </c>
    </row>
    <row r="226" spans="1:16" x14ac:dyDescent="0.25">
      <c r="A226" s="2">
        <v>45429</v>
      </c>
      <c r="B226" s="2" t="str">
        <f>TEXT(Table134[[#This Row],[Date]],"MMM")</f>
        <v>May</v>
      </c>
      <c r="C226">
        <v>78</v>
      </c>
      <c r="D226">
        <v>76</v>
      </c>
      <c r="E226" s="3">
        <v>194.06057986188071</v>
      </c>
      <c r="F226">
        <v>39</v>
      </c>
      <c r="G226" s="6">
        <v>3431.3917475833891</v>
      </c>
      <c r="H226" t="s">
        <v>47</v>
      </c>
      <c r="I226" t="s">
        <v>43</v>
      </c>
      <c r="J226" t="str">
        <f>Table134[[#This Row],[First Name]]&amp;" "&amp;Table134[[#This Row],[Last Name]]</f>
        <v>John Williams</v>
      </c>
      <c r="K226" t="s">
        <v>46</v>
      </c>
      <c r="L226" s="5">
        <f>Table134[[#This Row],[Calls Reached]]/Table134[[#This Row],[Total Calls]]</f>
        <v>0.97435897435897434</v>
      </c>
      <c r="M226" s="5">
        <f>Table134[[#This Row],[Deals Closed]]/Table134[[#This Row],[Calls Reached]]</f>
        <v>0.51315789473684215</v>
      </c>
      <c r="N226" s="6">
        <f>IFERROR(Table134[[#This Row],[Deal Value ($)]]/Table134[[#This Row],[Deals Closed]],0)</f>
        <v>87.984403784189468</v>
      </c>
      <c r="O226" s="6">
        <f>Table134[[#This Row],[Deal Value ($)]]/Table134[[#This Row],[Total Calls]]</f>
        <v>43.992201892094734</v>
      </c>
      <c r="P226" t="str">
        <f>IF(Table134[[#This Row],[Conversion Rate]]&gt;=20%,"High","Low")</f>
        <v>High</v>
      </c>
    </row>
    <row r="227" spans="1:16" x14ac:dyDescent="0.25">
      <c r="A227" s="2">
        <v>45432</v>
      </c>
      <c r="B227" s="2" t="str">
        <f>TEXT(Table134[[#This Row],[Date]],"MMM")</f>
        <v>May</v>
      </c>
      <c r="C227">
        <v>64</v>
      </c>
      <c r="D227">
        <v>55</v>
      </c>
      <c r="E227" s="3">
        <v>331.84920246999098</v>
      </c>
      <c r="F227">
        <v>21</v>
      </c>
      <c r="G227" s="6">
        <v>4233.8381166824074</v>
      </c>
      <c r="H227" t="s">
        <v>18</v>
      </c>
      <c r="I227" t="s">
        <v>40</v>
      </c>
      <c r="J227" t="str">
        <f>Table134[[#This Row],[First Name]]&amp;" "&amp;Table134[[#This Row],[Last Name]]</f>
        <v>Chris Davis</v>
      </c>
      <c r="K227" t="s">
        <v>46</v>
      </c>
      <c r="L227" s="5">
        <f>Table134[[#This Row],[Calls Reached]]/Table134[[#This Row],[Total Calls]]</f>
        <v>0.859375</v>
      </c>
      <c r="M227" s="5">
        <f>Table134[[#This Row],[Deals Closed]]/Table134[[#This Row],[Calls Reached]]</f>
        <v>0.38181818181818183</v>
      </c>
      <c r="N227" s="6">
        <f>IFERROR(Table134[[#This Row],[Deal Value ($)]]/Table134[[#This Row],[Deals Closed]],0)</f>
        <v>201.61133888963846</v>
      </c>
      <c r="O227" s="6">
        <f>Table134[[#This Row],[Deal Value ($)]]/Table134[[#This Row],[Total Calls]]</f>
        <v>66.153720573162616</v>
      </c>
      <c r="P227" t="str">
        <f>IF(Table134[[#This Row],[Conversion Rate]]&gt;=20%,"High","Low")</f>
        <v>High</v>
      </c>
    </row>
    <row r="228" spans="1:16" x14ac:dyDescent="0.25">
      <c r="A228" s="2">
        <v>45433</v>
      </c>
      <c r="B228" s="2" t="str">
        <f>TEXT(Table134[[#This Row],[Date]],"MMM")</f>
        <v>May</v>
      </c>
      <c r="C228">
        <v>94</v>
      </c>
      <c r="D228">
        <v>33</v>
      </c>
      <c r="E228" s="3">
        <v>276.67611401302639</v>
      </c>
      <c r="F228">
        <v>28</v>
      </c>
      <c r="G228" s="6">
        <v>1428.895722922714</v>
      </c>
      <c r="H228" t="s">
        <v>18</v>
      </c>
      <c r="I228" t="s">
        <v>36</v>
      </c>
      <c r="J228" t="str">
        <f>Table134[[#This Row],[First Name]]&amp;" "&amp;Table134[[#This Row],[Last Name]]</f>
        <v>Chris Smith</v>
      </c>
      <c r="K228" t="s">
        <v>45</v>
      </c>
      <c r="L228" s="5">
        <f>Table134[[#This Row],[Calls Reached]]/Table134[[#This Row],[Total Calls]]</f>
        <v>0.35106382978723405</v>
      </c>
      <c r="M228" s="5">
        <f>Table134[[#This Row],[Deals Closed]]/Table134[[#This Row],[Calls Reached]]</f>
        <v>0.84848484848484851</v>
      </c>
      <c r="N228" s="6">
        <f>IFERROR(Table134[[#This Row],[Deal Value ($)]]/Table134[[#This Row],[Deals Closed]],0)</f>
        <v>51.031990104382643</v>
      </c>
      <c r="O228" s="6">
        <f>Table134[[#This Row],[Deal Value ($)]]/Table134[[#This Row],[Total Calls]]</f>
        <v>15.201018328965041</v>
      </c>
      <c r="P228" t="str">
        <f>IF(Table134[[#This Row],[Conversion Rate]]&gt;=20%,"High","Low")</f>
        <v>High</v>
      </c>
    </row>
    <row r="229" spans="1:16" x14ac:dyDescent="0.25">
      <c r="A229" s="2">
        <v>45434</v>
      </c>
      <c r="B229" s="2" t="str">
        <f>TEXT(Table134[[#This Row],[Date]],"MMM")</f>
        <v>May</v>
      </c>
      <c r="C229">
        <v>50</v>
      </c>
      <c r="D229">
        <v>41</v>
      </c>
      <c r="E229" s="3">
        <v>391.82805592543599</v>
      </c>
      <c r="F229">
        <v>7</v>
      </c>
      <c r="G229" s="6">
        <v>549.48122896316215</v>
      </c>
      <c r="H229" t="s">
        <v>10</v>
      </c>
      <c r="I229" t="s">
        <v>36</v>
      </c>
      <c r="J229" t="str">
        <f>Table134[[#This Row],[First Name]]&amp;" "&amp;Table134[[#This Row],[Last Name]]</f>
        <v>Alice Smith</v>
      </c>
      <c r="K229" t="s">
        <v>45</v>
      </c>
      <c r="L229" s="5">
        <f>Table134[[#This Row],[Calls Reached]]/Table134[[#This Row],[Total Calls]]</f>
        <v>0.82</v>
      </c>
      <c r="M229" s="5">
        <f>Table134[[#This Row],[Deals Closed]]/Table134[[#This Row],[Calls Reached]]</f>
        <v>0.17073170731707318</v>
      </c>
      <c r="N229" s="6">
        <f>IFERROR(Table134[[#This Row],[Deal Value ($)]]/Table134[[#This Row],[Deals Closed]],0)</f>
        <v>78.497318423308883</v>
      </c>
      <c r="O229" s="6">
        <f>Table134[[#This Row],[Deal Value ($)]]/Table134[[#This Row],[Total Calls]]</f>
        <v>10.989624579263243</v>
      </c>
      <c r="P229" t="str">
        <f>IF(Table134[[#This Row],[Conversion Rate]]&gt;=20%,"High","Low")</f>
        <v>Low</v>
      </c>
    </row>
    <row r="230" spans="1:16" x14ac:dyDescent="0.25">
      <c r="A230" s="2">
        <v>45435</v>
      </c>
      <c r="B230" s="2" t="str">
        <f>TEXT(Table134[[#This Row],[Date]],"MMM")</f>
        <v>May</v>
      </c>
      <c r="C230">
        <v>74</v>
      </c>
      <c r="D230">
        <v>56</v>
      </c>
      <c r="E230" s="3">
        <v>138.86731848249241</v>
      </c>
      <c r="F230">
        <v>10</v>
      </c>
      <c r="G230" s="6">
        <v>1115.985335309633</v>
      </c>
      <c r="H230" t="s">
        <v>47</v>
      </c>
      <c r="I230" t="s">
        <v>44</v>
      </c>
      <c r="J230" t="str">
        <f>Table134[[#This Row],[First Name]]&amp;" "&amp;Table134[[#This Row],[Last Name]]</f>
        <v>John Brown</v>
      </c>
      <c r="K230" t="s">
        <v>45</v>
      </c>
      <c r="L230" s="5">
        <f>Table134[[#This Row],[Calls Reached]]/Table134[[#This Row],[Total Calls]]</f>
        <v>0.7567567567567568</v>
      </c>
      <c r="M230" s="5">
        <f>Table134[[#This Row],[Deals Closed]]/Table134[[#This Row],[Calls Reached]]</f>
        <v>0.17857142857142858</v>
      </c>
      <c r="N230" s="6">
        <f>IFERROR(Table134[[#This Row],[Deal Value ($)]]/Table134[[#This Row],[Deals Closed]],0)</f>
        <v>111.59853353096329</v>
      </c>
      <c r="O230" s="6">
        <f>Table134[[#This Row],[Deal Value ($)]]/Table134[[#This Row],[Total Calls]]</f>
        <v>15.080882909589635</v>
      </c>
      <c r="P230" t="str">
        <f>IF(Table134[[#This Row],[Conversion Rate]]&gt;=20%,"High","Low")</f>
        <v>Low</v>
      </c>
    </row>
    <row r="231" spans="1:16" x14ac:dyDescent="0.25">
      <c r="A231" s="2">
        <v>45436</v>
      </c>
      <c r="B231" s="2" t="str">
        <f>TEXT(Table134[[#This Row],[Date]],"MMM")</f>
        <v>May</v>
      </c>
      <c r="C231">
        <v>56</v>
      </c>
      <c r="D231">
        <v>32</v>
      </c>
      <c r="E231" s="3">
        <v>587.19740383308317</v>
      </c>
      <c r="F231">
        <v>36</v>
      </c>
      <c r="G231" s="6">
        <v>4550.0838883164724</v>
      </c>
      <c r="H231" t="s">
        <v>9</v>
      </c>
      <c r="I231" t="s">
        <v>36</v>
      </c>
      <c r="J231" t="str">
        <f>Table134[[#This Row],[First Name]]&amp;" "&amp;Table134[[#This Row],[Last Name]]</f>
        <v>Evan Smith</v>
      </c>
      <c r="K231" t="s">
        <v>45</v>
      </c>
      <c r="L231" s="5">
        <f>Table134[[#This Row],[Calls Reached]]/Table134[[#This Row],[Total Calls]]</f>
        <v>0.5714285714285714</v>
      </c>
      <c r="M231" s="5">
        <f>Table134[[#This Row],[Deals Closed]]/Table134[[#This Row],[Calls Reached]]</f>
        <v>1.125</v>
      </c>
      <c r="N231" s="6">
        <f>IFERROR(Table134[[#This Row],[Deal Value ($)]]/Table134[[#This Row],[Deals Closed]],0)</f>
        <v>126.39121911990202</v>
      </c>
      <c r="O231" s="6">
        <f>Table134[[#This Row],[Deal Value ($)]]/Table134[[#This Row],[Total Calls]]</f>
        <v>81.2514980056513</v>
      </c>
      <c r="P231" t="str">
        <f>IF(Table134[[#This Row],[Conversion Rate]]&gt;=20%,"High","Low")</f>
        <v>High</v>
      </c>
    </row>
    <row r="232" spans="1:16" x14ac:dyDescent="0.25">
      <c r="A232" s="2">
        <v>45439</v>
      </c>
      <c r="B232" s="2" t="str">
        <f>TEXT(Table134[[#This Row],[Date]],"MMM")</f>
        <v>May</v>
      </c>
      <c r="C232">
        <v>58</v>
      </c>
      <c r="D232">
        <v>75</v>
      </c>
      <c r="E232" s="3">
        <v>593.10537223980145</v>
      </c>
      <c r="F232">
        <v>13</v>
      </c>
      <c r="G232" s="6">
        <v>4432.5053490313176</v>
      </c>
      <c r="H232" t="s">
        <v>18</v>
      </c>
      <c r="I232" t="s">
        <v>42</v>
      </c>
      <c r="J232" t="str">
        <f>Table134[[#This Row],[First Name]]&amp;" "&amp;Table134[[#This Row],[Last Name]]</f>
        <v>Chris Martinez</v>
      </c>
      <c r="K232" t="s">
        <v>45</v>
      </c>
      <c r="L232" s="5">
        <f>Table134[[#This Row],[Calls Reached]]/Table134[[#This Row],[Total Calls]]</f>
        <v>1.2931034482758621</v>
      </c>
      <c r="M232" s="5">
        <f>Table134[[#This Row],[Deals Closed]]/Table134[[#This Row],[Calls Reached]]</f>
        <v>0.17333333333333334</v>
      </c>
      <c r="N232" s="6">
        <f>IFERROR(Table134[[#This Row],[Deal Value ($)]]/Table134[[#This Row],[Deals Closed]],0)</f>
        <v>340.96194992548595</v>
      </c>
      <c r="O232" s="6">
        <f>Table134[[#This Row],[Deal Value ($)]]/Table134[[#This Row],[Total Calls]]</f>
        <v>76.42250601778133</v>
      </c>
      <c r="P232" t="str">
        <f>IF(Table134[[#This Row],[Conversion Rate]]&gt;=20%,"High","Low")</f>
        <v>Low</v>
      </c>
    </row>
    <row r="233" spans="1:16" x14ac:dyDescent="0.25">
      <c r="A233" s="2">
        <v>45440</v>
      </c>
      <c r="B233" s="2" t="str">
        <f>TEXT(Table134[[#This Row],[Date]],"MMM")</f>
        <v>May</v>
      </c>
      <c r="C233">
        <v>73</v>
      </c>
      <c r="D233">
        <v>36</v>
      </c>
      <c r="E233" s="3">
        <v>449.08085700987249</v>
      </c>
      <c r="F233">
        <v>29</v>
      </c>
      <c r="G233" s="6">
        <v>3188.3589597663872</v>
      </c>
      <c r="H233" t="s">
        <v>9</v>
      </c>
      <c r="I233" t="s">
        <v>40</v>
      </c>
      <c r="J233" t="str">
        <f>Table134[[#This Row],[First Name]]&amp;" "&amp;Table134[[#This Row],[Last Name]]</f>
        <v>Evan Davis</v>
      </c>
      <c r="K233" t="s">
        <v>46</v>
      </c>
      <c r="L233" s="5">
        <f>Table134[[#This Row],[Calls Reached]]/Table134[[#This Row],[Total Calls]]</f>
        <v>0.49315068493150682</v>
      </c>
      <c r="M233" s="5">
        <f>Table134[[#This Row],[Deals Closed]]/Table134[[#This Row],[Calls Reached]]</f>
        <v>0.80555555555555558</v>
      </c>
      <c r="N233" s="6">
        <f>IFERROR(Table134[[#This Row],[Deal Value ($)]]/Table134[[#This Row],[Deals Closed]],0)</f>
        <v>109.94341240573749</v>
      </c>
      <c r="O233" s="6">
        <f>Table134[[#This Row],[Deal Value ($)]]/Table134[[#This Row],[Total Calls]]</f>
        <v>43.676150133786123</v>
      </c>
      <c r="P233" t="str">
        <f>IF(Table134[[#This Row],[Conversion Rate]]&gt;=20%,"High","Low")</f>
        <v>High</v>
      </c>
    </row>
    <row r="234" spans="1:16" x14ac:dyDescent="0.25">
      <c r="A234" s="2">
        <v>45441</v>
      </c>
      <c r="B234" s="2" t="str">
        <f>TEXT(Table134[[#This Row],[Date]],"MMM")</f>
        <v>May</v>
      </c>
      <c r="C234">
        <v>50</v>
      </c>
      <c r="D234">
        <v>11</v>
      </c>
      <c r="E234" s="3">
        <v>368.04818317206019</v>
      </c>
      <c r="F234">
        <v>34</v>
      </c>
      <c r="G234" s="6">
        <v>3202.3258719514401</v>
      </c>
      <c r="H234" t="s">
        <v>47</v>
      </c>
      <c r="I234" t="s">
        <v>38</v>
      </c>
      <c r="J234" t="str">
        <f>Table134[[#This Row],[First Name]]&amp;" "&amp;Table134[[#This Row],[Last Name]]</f>
        <v>John Rodriguez</v>
      </c>
      <c r="K234" t="s">
        <v>45</v>
      </c>
      <c r="L234" s="5">
        <f>Table134[[#This Row],[Calls Reached]]/Table134[[#This Row],[Total Calls]]</f>
        <v>0.22</v>
      </c>
      <c r="M234" s="5">
        <f>Table134[[#This Row],[Deals Closed]]/Table134[[#This Row],[Calls Reached]]</f>
        <v>3.0909090909090908</v>
      </c>
      <c r="N234" s="6">
        <f>IFERROR(Table134[[#This Row],[Deal Value ($)]]/Table134[[#This Row],[Deals Closed]],0)</f>
        <v>94.186055057395293</v>
      </c>
      <c r="O234" s="6">
        <f>Table134[[#This Row],[Deal Value ($)]]/Table134[[#This Row],[Total Calls]]</f>
        <v>64.046517439028804</v>
      </c>
      <c r="P234" t="str">
        <f>IF(Table134[[#This Row],[Conversion Rate]]&gt;=20%,"High","Low")</f>
        <v>High</v>
      </c>
    </row>
    <row r="235" spans="1:16" x14ac:dyDescent="0.25">
      <c r="A235" s="2">
        <v>45442</v>
      </c>
      <c r="B235" s="2" t="str">
        <f>TEXT(Table134[[#This Row],[Date]],"MMM")</f>
        <v>May</v>
      </c>
      <c r="C235">
        <v>93</v>
      </c>
      <c r="D235">
        <v>26</v>
      </c>
      <c r="E235" s="3">
        <v>254.76380814316391</v>
      </c>
      <c r="F235">
        <v>20</v>
      </c>
      <c r="G235" s="6">
        <v>3492.6650354581502</v>
      </c>
      <c r="H235" t="s">
        <v>9</v>
      </c>
      <c r="I235" t="s">
        <v>40</v>
      </c>
      <c r="J235" t="str">
        <f>Table134[[#This Row],[First Name]]&amp;" "&amp;Table134[[#This Row],[Last Name]]</f>
        <v>Evan Davis</v>
      </c>
      <c r="K235" t="s">
        <v>45</v>
      </c>
      <c r="L235" s="5">
        <f>Table134[[#This Row],[Calls Reached]]/Table134[[#This Row],[Total Calls]]</f>
        <v>0.27956989247311825</v>
      </c>
      <c r="M235" s="5">
        <f>Table134[[#This Row],[Deals Closed]]/Table134[[#This Row],[Calls Reached]]</f>
        <v>0.76923076923076927</v>
      </c>
      <c r="N235" s="6">
        <f>IFERROR(Table134[[#This Row],[Deal Value ($)]]/Table134[[#This Row],[Deals Closed]],0)</f>
        <v>174.6332517729075</v>
      </c>
      <c r="O235" s="6">
        <f>Table134[[#This Row],[Deal Value ($)]]/Table134[[#This Row],[Total Calls]]</f>
        <v>37.555538015679033</v>
      </c>
      <c r="P235" t="str">
        <f>IF(Table134[[#This Row],[Conversion Rate]]&gt;=20%,"High","Low")</f>
        <v>High</v>
      </c>
    </row>
    <row r="236" spans="1:16" x14ac:dyDescent="0.25">
      <c r="A236" s="2">
        <v>45443</v>
      </c>
      <c r="B236" s="2" t="str">
        <f>TEXT(Table134[[#This Row],[Date]],"MMM")</f>
        <v>May</v>
      </c>
      <c r="C236">
        <v>57</v>
      </c>
      <c r="D236">
        <v>42</v>
      </c>
      <c r="E236" s="3">
        <v>506.89750985347428</v>
      </c>
      <c r="F236">
        <v>36</v>
      </c>
      <c r="G236" s="6">
        <v>1289.170753805523</v>
      </c>
      <c r="H236" t="s">
        <v>49</v>
      </c>
      <c r="I236" t="s">
        <v>42</v>
      </c>
      <c r="J236" t="str">
        <f>Table134[[#This Row],[First Name]]&amp;" "&amp;Table134[[#This Row],[Last Name]]</f>
        <v>Jane Martinez</v>
      </c>
      <c r="K236" t="s">
        <v>45</v>
      </c>
      <c r="L236" s="5">
        <f>Table134[[#This Row],[Calls Reached]]/Table134[[#This Row],[Total Calls]]</f>
        <v>0.73684210526315785</v>
      </c>
      <c r="M236" s="5">
        <f>Table134[[#This Row],[Deals Closed]]/Table134[[#This Row],[Calls Reached]]</f>
        <v>0.8571428571428571</v>
      </c>
      <c r="N236" s="6">
        <f>IFERROR(Table134[[#This Row],[Deal Value ($)]]/Table134[[#This Row],[Deals Closed]],0)</f>
        <v>35.810298716820085</v>
      </c>
      <c r="O236" s="6">
        <f>Table134[[#This Row],[Deal Value ($)]]/Table134[[#This Row],[Total Calls]]</f>
        <v>22.617030768517946</v>
      </c>
      <c r="P236" t="str">
        <f>IF(Table134[[#This Row],[Conversion Rate]]&gt;=20%,"High","Low")</f>
        <v>High</v>
      </c>
    </row>
    <row r="237" spans="1:16" x14ac:dyDescent="0.25">
      <c r="A237" s="2">
        <v>45444</v>
      </c>
      <c r="B237" s="2" t="str">
        <f>TEXT(Table134[[#This Row],[Date]],"MMM")</f>
        <v>Jun</v>
      </c>
      <c r="C237">
        <v>85</v>
      </c>
      <c r="D237">
        <v>17</v>
      </c>
      <c r="E237" s="3">
        <v>324.56</v>
      </c>
      <c r="F237">
        <v>3</v>
      </c>
      <c r="G237" s="6">
        <v>2420.5300000000002</v>
      </c>
      <c r="H237" t="s">
        <v>15</v>
      </c>
      <c r="I237" t="s">
        <v>43</v>
      </c>
      <c r="J237" t="str">
        <f>Table134[[#This Row],[First Name]]&amp;" "&amp;Table134[[#This Row],[Last Name]]</f>
        <v>Rick Williams</v>
      </c>
      <c r="K237" t="s">
        <v>45</v>
      </c>
      <c r="L237" s="5">
        <f>Table134[[#This Row],[Calls Reached]]/Table134[[#This Row],[Total Calls]]</f>
        <v>0.2</v>
      </c>
      <c r="M237" s="5">
        <f>Table134[[#This Row],[Deals Closed]]/Table134[[#This Row],[Calls Reached]]</f>
        <v>0.17647058823529413</v>
      </c>
      <c r="N237" s="6">
        <f>IFERROR(Table134[[#This Row],[Deal Value ($)]]/Table134[[#This Row],[Deals Closed]],0)</f>
        <v>806.84333333333336</v>
      </c>
      <c r="O237" s="6">
        <f>Table134[[#This Row],[Deal Value ($)]]/Table134[[#This Row],[Total Calls]]</f>
        <v>28.476823529411767</v>
      </c>
      <c r="P237" t="str">
        <f>IF(Table134[[#This Row],[Conversion Rate]]&gt;=20%,"High","Low")</f>
        <v>Low</v>
      </c>
    </row>
    <row r="238" spans="1:16" x14ac:dyDescent="0.25">
      <c r="A238" s="2">
        <v>45444</v>
      </c>
      <c r="B238" s="2" t="str">
        <f>TEXT(Table134[[#This Row],[Date]],"MMM")</f>
        <v>Jun</v>
      </c>
      <c r="C238">
        <v>49</v>
      </c>
      <c r="D238">
        <v>7</v>
      </c>
      <c r="E238" s="3">
        <v>512.88</v>
      </c>
      <c r="F238">
        <v>2</v>
      </c>
      <c r="G238" s="6">
        <v>3545.66</v>
      </c>
      <c r="H238" t="s">
        <v>14</v>
      </c>
      <c r="I238" t="s">
        <v>44</v>
      </c>
      <c r="J238" t="str">
        <f>Table134[[#This Row],[First Name]]&amp;" "&amp;Table134[[#This Row],[Last Name]]</f>
        <v>Bob Brown</v>
      </c>
      <c r="K238" t="s">
        <v>45</v>
      </c>
      <c r="L238" s="5">
        <f>Table134[[#This Row],[Calls Reached]]/Table134[[#This Row],[Total Calls]]</f>
        <v>0.14285714285714285</v>
      </c>
      <c r="M238" s="5">
        <f>Table134[[#This Row],[Deals Closed]]/Table134[[#This Row],[Calls Reached]]</f>
        <v>0.2857142857142857</v>
      </c>
      <c r="N238" s="6">
        <f>IFERROR(Table134[[#This Row],[Deal Value ($)]]/Table134[[#This Row],[Deals Closed]],0)</f>
        <v>1772.83</v>
      </c>
      <c r="O238" s="6">
        <f>Table134[[#This Row],[Deal Value ($)]]/Table134[[#This Row],[Total Calls]]</f>
        <v>72.360408163265305</v>
      </c>
      <c r="P238" t="str">
        <f>IF(Table134[[#This Row],[Conversion Rate]]&gt;=20%,"High","Low")</f>
        <v>High</v>
      </c>
    </row>
    <row r="239" spans="1:16" x14ac:dyDescent="0.25">
      <c r="A239" s="2">
        <v>45444</v>
      </c>
      <c r="B239" s="2" t="str">
        <f>TEXT(Table134[[#This Row],[Date]],"MMM")</f>
        <v>Jun</v>
      </c>
      <c r="C239">
        <v>59</v>
      </c>
      <c r="D239">
        <v>16</v>
      </c>
      <c r="E239" s="3">
        <v>359.47</v>
      </c>
      <c r="F239">
        <v>7</v>
      </c>
      <c r="G239" s="6">
        <v>3958.94</v>
      </c>
      <c r="H239" t="s">
        <v>9</v>
      </c>
      <c r="I239" t="s">
        <v>40</v>
      </c>
      <c r="J239" t="str">
        <f>Table134[[#This Row],[First Name]]&amp;" "&amp;Table134[[#This Row],[Last Name]]</f>
        <v>Evan Davis</v>
      </c>
      <c r="K239" t="s">
        <v>45</v>
      </c>
      <c r="L239" s="5">
        <f>Table134[[#This Row],[Calls Reached]]/Table134[[#This Row],[Total Calls]]</f>
        <v>0.2711864406779661</v>
      </c>
      <c r="M239" s="5">
        <f>Table134[[#This Row],[Deals Closed]]/Table134[[#This Row],[Calls Reached]]</f>
        <v>0.4375</v>
      </c>
      <c r="N239" s="6">
        <f>IFERROR(Table134[[#This Row],[Deal Value ($)]]/Table134[[#This Row],[Deals Closed]],0)</f>
        <v>565.56285714285718</v>
      </c>
      <c r="O239" s="6">
        <f>Table134[[#This Row],[Deal Value ($)]]/Table134[[#This Row],[Total Calls]]</f>
        <v>67.100677966101699</v>
      </c>
      <c r="P239" t="str">
        <f>IF(Table134[[#This Row],[Conversion Rate]]&gt;=20%,"High","Low")</f>
        <v>High</v>
      </c>
    </row>
    <row r="240" spans="1:16" x14ac:dyDescent="0.25">
      <c r="A240" s="2">
        <v>45444</v>
      </c>
      <c r="B240" s="2" t="str">
        <f>TEXT(Table134[[#This Row],[Date]],"MMM")</f>
        <v>Jun</v>
      </c>
      <c r="C240">
        <v>18</v>
      </c>
      <c r="D240">
        <v>7</v>
      </c>
      <c r="E240" s="3">
        <v>85.32</v>
      </c>
      <c r="F240">
        <v>3</v>
      </c>
      <c r="G240" s="6">
        <v>1431.69</v>
      </c>
      <c r="H240" t="s">
        <v>12</v>
      </c>
      <c r="I240" t="s">
        <v>42</v>
      </c>
      <c r="J240" t="str">
        <f>Table134[[#This Row],[First Name]]&amp;" "&amp;Table134[[#This Row],[Last Name]]</f>
        <v>Jake Martinez</v>
      </c>
      <c r="K240" t="s">
        <v>46</v>
      </c>
      <c r="L240" s="5">
        <f>Table134[[#This Row],[Calls Reached]]/Table134[[#This Row],[Total Calls]]</f>
        <v>0.3888888888888889</v>
      </c>
      <c r="M240" s="5">
        <f>Table134[[#This Row],[Deals Closed]]/Table134[[#This Row],[Calls Reached]]</f>
        <v>0.42857142857142855</v>
      </c>
      <c r="N240" s="6">
        <f>IFERROR(Table134[[#This Row],[Deal Value ($)]]/Table134[[#This Row],[Deals Closed]],0)</f>
        <v>477.23</v>
      </c>
      <c r="O240" s="6">
        <f>Table134[[#This Row],[Deal Value ($)]]/Table134[[#This Row],[Total Calls]]</f>
        <v>79.538333333333341</v>
      </c>
      <c r="P240" t="str">
        <f>IF(Table134[[#This Row],[Conversion Rate]]&gt;=20%,"High","Low")</f>
        <v>High</v>
      </c>
    </row>
    <row r="241" spans="1:16" x14ac:dyDescent="0.25">
      <c r="A241" s="2">
        <v>45444</v>
      </c>
      <c r="B241" s="2" t="str">
        <f>TEXT(Table134[[#This Row],[Date]],"MMM")</f>
        <v>Jun</v>
      </c>
      <c r="C241">
        <v>61</v>
      </c>
      <c r="D241">
        <v>7</v>
      </c>
      <c r="E241" s="3">
        <v>219.53</v>
      </c>
      <c r="F241">
        <v>7</v>
      </c>
      <c r="G241" s="6">
        <v>3860.12</v>
      </c>
      <c r="H241" t="s">
        <v>16</v>
      </c>
      <c r="I241" t="s">
        <v>35</v>
      </c>
      <c r="J241" t="str">
        <f>Table134[[#This Row],[First Name]]&amp;" "&amp;Table134[[#This Row],[Last Name]]</f>
        <v>Charlie Garcia</v>
      </c>
      <c r="K241" t="s">
        <v>45</v>
      </c>
      <c r="L241" s="5">
        <f>Table134[[#This Row],[Calls Reached]]/Table134[[#This Row],[Total Calls]]</f>
        <v>0.11475409836065574</v>
      </c>
      <c r="M241" s="5">
        <f>Table134[[#This Row],[Deals Closed]]/Table134[[#This Row],[Calls Reached]]</f>
        <v>1</v>
      </c>
      <c r="N241" s="6">
        <f>IFERROR(Table134[[#This Row],[Deal Value ($)]]/Table134[[#This Row],[Deals Closed]],0)</f>
        <v>551.4457142857143</v>
      </c>
      <c r="O241" s="6">
        <f>Table134[[#This Row],[Deal Value ($)]]/Table134[[#This Row],[Total Calls]]</f>
        <v>63.280655737704919</v>
      </c>
      <c r="P241" t="str">
        <f>IF(Table134[[#This Row],[Conversion Rate]]&gt;=20%,"High","Low")</f>
        <v>High</v>
      </c>
    </row>
    <row r="242" spans="1:16" x14ac:dyDescent="0.25">
      <c r="A242" s="2">
        <v>45444</v>
      </c>
      <c r="B242" s="2" t="str">
        <f>TEXT(Table134[[#This Row],[Date]],"MMM")</f>
        <v>Jun</v>
      </c>
      <c r="C242">
        <v>93</v>
      </c>
      <c r="D242">
        <v>14</v>
      </c>
      <c r="E242" s="3">
        <v>466.81</v>
      </c>
      <c r="F242">
        <v>5</v>
      </c>
      <c r="G242" s="6">
        <v>988.98</v>
      </c>
      <c r="H242" t="s">
        <v>13</v>
      </c>
      <c r="I242" t="s">
        <v>42</v>
      </c>
      <c r="J242" t="str">
        <f>Table134[[#This Row],[First Name]]&amp;" "&amp;Table134[[#This Row],[Last Name]]</f>
        <v>Liam Martinez</v>
      </c>
      <c r="K242" t="s">
        <v>45</v>
      </c>
      <c r="L242" s="5">
        <f>Table134[[#This Row],[Calls Reached]]/Table134[[#This Row],[Total Calls]]</f>
        <v>0.15053763440860216</v>
      </c>
      <c r="M242" s="5">
        <f>Table134[[#This Row],[Deals Closed]]/Table134[[#This Row],[Calls Reached]]</f>
        <v>0.35714285714285715</v>
      </c>
      <c r="N242" s="6">
        <f>IFERROR(Table134[[#This Row],[Deal Value ($)]]/Table134[[#This Row],[Deals Closed]],0)</f>
        <v>197.79599999999999</v>
      </c>
      <c r="O242" s="6">
        <f>Table134[[#This Row],[Deal Value ($)]]/Table134[[#This Row],[Total Calls]]</f>
        <v>10.634193548387097</v>
      </c>
      <c r="P242" t="str">
        <f>IF(Table134[[#This Row],[Conversion Rate]]&gt;=20%,"High","Low")</f>
        <v>High</v>
      </c>
    </row>
    <row r="243" spans="1:16" x14ac:dyDescent="0.25">
      <c r="A243" s="2">
        <v>45444</v>
      </c>
      <c r="B243" s="2" t="str">
        <f>TEXT(Table134[[#This Row],[Date]],"MMM")</f>
        <v>Jun</v>
      </c>
      <c r="C243">
        <v>30</v>
      </c>
      <c r="D243">
        <v>16</v>
      </c>
      <c r="E243" s="3">
        <v>353.65</v>
      </c>
      <c r="F243">
        <v>9</v>
      </c>
      <c r="G243" s="6">
        <v>1213.5899999999999</v>
      </c>
      <c r="H243" t="s">
        <v>17</v>
      </c>
      <c r="I243" t="s">
        <v>41</v>
      </c>
      <c r="J243" t="str">
        <f>Table134[[#This Row],[First Name]]&amp;" "&amp;Table134[[#This Row],[Last Name]]</f>
        <v>Molly Miller</v>
      </c>
      <c r="K243" t="s">
        <v>46</v>
      </c>
      <c r="L243" s="5">
        <f>Table134[[#This Row],[Calls Reached]]/Table134[[#This Row],[Total Calls]]</f>
        <v>0.53333333333333333</v>
      </c>
      <c r="M243" s="5">
        <f>Table134[[#This Row],[Deals Closed]]/Table134[[#This Row],[Calls Reached]]</f>
        <v>0.5625</v>
      </c>
      <c r="N243" s="6">
        <f>IFERROR(Table134[[#This Row],[Deal Value ($)]]/Table134[[#This Row],[Deals Closed]],0)</f>
        <v>134.84333333333333</v>
      </c>
      <c r="O243" s="6">
        <f>Table134[[#This Row],[Deal Value ($)]]/Table134[[#This Row],[Total Calls]]</f>
        <v>40.452999999999996</v>
      </c>
      <c r="P243" t="str">
        <f>IF(Table134[[#This Row],[Conversion Rate]]&gt;=20%,"High","Low")</f>
        <v>High</v>
      </c>
    </row>
    <row r="244" spans="1:16" x14ac:dyDescent="0.25">
      <c r="A244" s="2">
        <v>45444</v>
      </c>
      <c r="B244" s="2" t="str">
        <f>TEXT(Table134[[#This Row],[Date]],"MMM")</f>
        <v>Jun</v>
      </c>
      <c r="C244">
        <v>71</v>
      </c>
      <c r="D244">
        <v>11</v>
      </c>
      <c r="E244" s="3">
        <v>379.33</v>
      </c>
      <c r="F244">
        <v>4</v>
      </c>
      <c r="G244" s="6">
        <v>4003.52</v>
      </c>
      <c r="H244" t="s">
        <v>10</v>
      </c>
      <c r="I244" t="s">
        <v>35</v>
      </c>
      <c r="J244" t="str">
        <f>Table134[[#This Row],[First Name]]&amp;" "&amp;Table134[[#This Row],[Last Name]]</f>
        <v>Alice Garcia</v>
      </c>
      <c r="K244" t="s">
        <v>46</v>
      </c>
      <c r="L244" s="5">
        <f>Table134[[#This Row],[Calls Reached]]/Table134[[#This Row],[Total Calls]]</f>
        <v>0.15492957746478872</v>
      </c>
      <c r="M244" s="5">
        <f>Table134[[#This Row],[Deals Closed]]/Table134[[#This Row],[Calls Reached]]</f>
        <v>0.36363636363636365</v>
      </c>
      <c r="N244" s="6">
        <f>IFERROR(Table134[[#This Row],[Deal Value ($)]]/Table134[[#This Row],[Deals Closed]],0)</f>
        <v>1000.88</v>
      </c>
      <c r="O244" s="6">
        <f>Table134[[#This Row],[Deal Value ($)]]/Table134[[#This Row],[Total Calls]]</f>
        <v>56.387605633802814</v>
      </c>
      <c r="P244" t="str">
        <f>IF(Table134[[#This Row],[Conversion Rate]]&gt;=20%,"High","Low")</f>
        <v>High</v>
      </c>
    </row>
    <row r="245" spans="1:16" x14ac:dyDescent="0.25">
      <c r="A245" s="2">
        <v>45444</v>
      </c>
      <c r="B245" s="2" t="str">
        <f>TEXT(Table134[[#This Row],[Date]],"MMM")</f>
        <v>Jun</v>
      </c>
      <c r="C245">
        <v>19</v>
      </c>
      <c r="D245">
        <v>7</v>
      </c>
      <c r="E245" s="3">
        <v>199.46</v>
      </c>
      <c r="F245">
        <v>7</v>
      </c>
      <c r="G245" s="6">
        <v>809.56</v>
      </c>
      <c r="H245" t="s">
        <v>19</v>
      </c>
      <c r="I245" t="s">
        <v>38</v>
      </c>
      <c r="J245" t="str">
        <f>Table134[[#This Row],[First Name]]&amp;" "&amp;Table134[[#This Row],[Last Name]]</f>
        <v>James Rodriguez</v>
      </c>
      <c r="K245" t="s">
        <v>45</v>
      </c>
      <c r="L245" s="5">
        <f>Table134[[#This Row],[Calls Reached]]/Table134[[#This Row],[Total Calls]]</f>
        <v>0.36842105263157893</v>
      </c>
      <c r="M245" s="5">
        <f>Table134[[#This Row],[Deals Closed]]/Table134[[#This Row],[Calls Reached]]</f>
        <v>1</v>
      </c>
      <c r="N245" s="6">
        <f>IFERROR(Table134[[#This Row],[Deal Value ($)]]/Table134[[#This Row],[Deals Closed]],0)</f>
        <v>115.65142857142857</v>
      </c>
      <c r="O245" s="6">
        <f>Table134[[#This Row],[Deal Value ($)]]/Table134[[#This Row],[Total Calls]]</f>
        <v>42.608421052631577</v>
      </c>
      <c r="P245" t="str">
        <f>IF(Table134[[#This Row],[Conversion Rate]]&gt;=20%,"High","Low")</f>
        <v>High</v>
      </c>
    </row>
    <row r="246" spans="1:16" x14ac:dyDescent="0.25">
      <c r="A246" s="2">
        <v>45444</v>
      </c>
      <c r="B246" s="2" t="str">
        <f>TEXT(Table134[[#This Row],[Date]],"MMM")</f>
        <v>Jun</v>
      </c>
      <c r="C246">
        <v>35</v>
      </c>
      <c r="D246">
        <v>16</v>
      </c>
      <c r="E246" s="3">
        <v>351.71</v>
      </c>
      <c r="F246">
        <v>9</v>
      </c>
      <c r="G246" s="6">
        <v>3984.69</v>
      </c>
      <c r="H246" t="s">
        <v>34</v>
      </c>
      <c r="I246" t="s">
        <v>41</v>
      </c>
      <c r="J246" t="str">
        <f>Table134[[#This Row],[First Name]]&amp;" "&amp;Table134[[#This Row],[Last Name]]</f>
        <v>Mimi Miller</v>
      </c>
      <c r="K246" t="s">
        <v>45</v>
      </c>
      <c r="L246" s="5">
        <f>Table134[[#This Row],[Calls Reached]]/Table134[[#This Row],[Total Calls]]</f>
        <v>0.45714285714285713</v>
      </c>
      <c r="M246" s="5">
        <f>Table134[[#This Row],[Deals Closed]]/Table134[[#This Row],[Calls Reached]]</f>
        <v>0.5625</v>
      </c>
      <c r="N246" s="6">
        <f>IFERROR(Table134[[#This Row],[Deal Value ($)]]/Table134[[#This Row],[Deals Closed]],0)</f>
        <v>442.74333333333334</v>
      </c>
      <c r="O246" s="6">
        <f>Table134[[#This Row],[Deal Value ($)]]/Table134[[#This Row],[Total Calls]]</f>
        <v>113.84828571428572</v>
      </c>
      <c r="P246" t="str">
        <f>IF(Table134[[#This Row],[Conversion Rate]]&gt;=20%,"High","Low")</f>
        <v>High</v>
      </c>
    </row>
    <row r="247" spans="1:16" x14ac:dyDescent="0.25">
      <c r="A247" s="2">
        <v>45444</v>
      </c>
      <c r="B247" s="2" t="str">
        <f>TEXT(Table134[[#This Row],[Date]],"MMM")</f>
        <v>Jun</v>
      </c>
      <c r="C247">
        <v>35</v>
      </c>
      <c r="D247">
        <v>12</v>
      </c>
      <c r="E247" s="3">
        <v>515.24</v>
      </c>
      <c r="F247">
        <v>5</v>
      </c>
      <c r="G247" s="6">
        <v>224.24</v>
      </c>
      <c r="H247" t="s">
        <v>33</v>
      </c>
      <c r="I247" t="s">
        <v>42</v>
      </c>
      <c r="J247" t="str">
        <f>Table134[[#This Row],[First Name]]&amp;" "&amp;Table134[[#This Row],[Last Name]]</f>
        <v>David Martinez</v>
      </c>
      <c r="K247" t="s">
        <v>46</v>
      </c>
      <c r="L247" s="5">
        <f>Table134[[#This Row],[Calls Reached]]/Table134[[#This Row],[Total Calls]]</f>
        <v>0.34285714285714286</v>
      </c>
      <c r="M247" s="5">
        <f>Table134[[#This Row],[Deals Closed]]/Table134[[#This Row],[Calls Reached]]</f>
        <v>0.41666666666666669</v>
      </c>
      <c r="N247" s="6">
        <f>IFERROR(Table134[[#This Row],[Deal Value ($)]]/Table134[[#This Row],[Deals Closed]],0)</f>
        <v>44.847999999999999</v>
      </c>
      <c r="O247" s="6">
        <f>Table134[[#This Row],[Deal Value ($)]]/Table134[[#This Row],[Total Calls]]</f>
        <v>6.4068571428571435</v>
      </c>
      <c r="P247" t="str">
        <f>IF(Table134[[#This Row],[Conversion Rate]]&gt;=20%,"High","Low")</f>
        <v>High</v>
      </c>
    </row>
    <row r="248" spans="1:16" x14ac:dyDescent="0.25">
      <c r="A248" s="2">
        <v>45444</v>
      </c>
      <c r="B248" s="2" t="str">
        <f>TEXT(Table134[[#This Row],[Date]],"MMM")</f>
        <v>Jun</v>
      </c>
      <c r="C248">
        <v>114</v>
      </c>
      <c r="D248">
        <v>13</v>
      </c>
      <c r="E248" s="3">
        <v>364.35</v>
      </c>
      <c r="F248">
        <v>0</v>
      </c>
      <c r="G248" s="6">
        <v>2988.28</v>
      </c>
      <c r="H248" t="s">
        <v>32</v>
      </c>
      <c r="I248" t="s">
        <v>39</v>
      </c>
      <c r="J248" t="str">
        <f>Table134[[#This Row],[First Name]]&amp;" "&amp;Table134[[#This Row],[Last Name]]</f>
        <v>Craig Jones</v>
      </c>
      <c r="K248" t="s">
        <v>45</v>
      </c>
      <c r="L248" s="5">
        <f>Table134[[#This Row],[Calls Reached]]/Table134[[#This Row],[Total Calls]]</f>
        <v>0.11403508771929824</v>
      </c>
      <c r="M248" s="5">
        <f>Table134[[#This Row],[Deals Closed]]/Table134[[#This Row],[Calls Reached]]</f>
        <v>0</v>
      </c>
      <c r="N248" s="6">
        <f>IFERROR(Table134[[#This Row],[Deal Value ($)]]/Table134[[#This Row],[Deals Closed]],0)</f>
        <v>0</v>
      </c>
      <c r="O248" s="6">
        <f>Table134[[#This Row],[Deal Value ($)]]/Table134[[#This Row],[Total Calls]]</f>
        <v>26.212982456140352</v>
      </c>
      <c r="P248" t="str">
        <f>IF(Table134[[#This Row],[Conversion Rate]]&gt;=20%,"High","Low")</f>
        <v>Low</v>
      </c>
    </row>
    <row r="249" spans="1:16" x14ac:dyDescent="0.25">
      <c r="A249" s="2">
        <v>45444</v>
      </c>
      <c r="B249" s="2" t="str">
        <f>TEXT(Table134[[#This Row],[Date]],"MMM")</f>
        <v>Jun</v>
      </c>
      <c r="C249">
        <v>58</v>
      </c>
      <c r="D249">
        <v>7</v>
      </c>
      <c r="E249" s="3">
        <v>173.24</v>
      </c>
      <c r="F249">
        <v>7</v>
      </c>
      <c r="G249" s="6">
        <v>525.73</v>
      </c>
      <c r="H249" t="s">
        <v>31</v>
      </c>
      <c r="I249" t="s">
        <v>37</v>
      </c>
      <c r="J249" t="str">
        <f>Table134[[#This Row],[First Name]]&amp;" "&amp;Table134[[#This Row],[Last Name]]</f>
        <v>Josh Johnson</v>
      </c>
      <c r="K249" t="s">
        <v>46</v>
      </c>
      <c r="L249" s="5">
        <f>Table134[[#This Row],[Calls Reached]]/Table134[[#This Row],[Total Calls]]</f>
        <v>0.1206896551724138</v>
      </c>
      <c r="M249" s="5">
        <f>Table134[[#This Row],[Deals Closed]]/Table134[[#This Row],[Calls Reached]]</f>
        <v>1</v>
      </c>
      <c r="N249" s="6">
        <f>IFERROR(Table134[[#This Row],[Deal Value ($)]]/Table134[[#This Row],[Deals Closed]],0)</f>
        <v>75.104285714285723</v>
      </c>
      <c r="O249" s="6">
        <f>Table134[[#This Row],[Deal Value ($)]]/Table134[[#This Row],[Total Calls]]</f>
        <v>9.0643103448275859</v>
      </c>
      <c r="P249" t="str">
        <f>IF(Table134[[#This Row],[Conversion Rate]]&gt;=20%,"High","Low")</f>
        <v>High</v>
      </c>
    </row>
    <row r="250" spans="1:16" x14ac:dyDescent="0.25">
      <c r="A250" s="2">
        <v>45444</v>
      </c>
      <c r="B250" s="2" t="str">
        <f>TEXT(Table134[[#This Row],[Date]],"MMM")</f>
        <v>Jun</v>
      </c>
      <c r="C250">
        <v>92</v>
      </c>
      <c r="D250">
        <v>5</v>
      </c>
      <c r="E250" s="3">
        <v>569.75</v>
      </c>
      <c r="F250">
        <v>2</v>
      </c>
      <c r="G250" s="6">
        <v>3734.43</v>
      </c>
      <c r="H250" t="s">
        <v>30</v>
      </c>
      <c r="I250" t="s">
        <v>35</v>
      </c>
      <c r="J250" t="str">
        <f>Table134[[#This Row],[First Name]]&amp;" "&amp;Table134[[#This Row],[Last Name]]</f>
        <v>Emma Garcia</v>
      </c>
      <c r="K250" t="s">
        <v>45</v>
      </c>
      <c r="L250" s="5">
        <f>Table134[[#This Row],[Calls Reached]]/Table134[[#This Row],[Total Calls]]</f>
        <v>5.434782608695652E-2</v>
      </c>
      <c r="M250" s="5">
        <f>Table134[[#This Row],[Deals Closed]]/Table134[[#This Row],[Calls Reached]]</f>
        <v>0.4</v>
      </c>
      <c r="N250" s="6">
        <f>IFERROR(Table134[[#This Row],[Deal Value ($)]]/Table134[[#This Row],[Deals Closed]],0)</f>
        <v>1867.2149999999999</v>
      </c>
      <c r="O250" s="6">
        <f>Table134[[#This Row],[Deal Value ($)]]/Table134[[#This Row],[Total Calls]]</f>
        <v>40.591630434782608</v>
      </c>
      <c r="P250" t="str">
        <f>IF(Table134[[#This Row],[Conversion Rate]]&gt;=20%,"High","Low")</f>
        <v>High</v>
      </c>
    </row>
    <row r="251" spans="1:16" x14ac:dyDescent="0.25">
      <c r="A251" s="2">
        <v>45444</v>
      </c>
      <c r="B251" s="2" t="str">
        <f>TEXT(Table134[[#This Row],[Date]],"MMM")</f>
        <v>Jun</v>
      </c>
      <c r="C251">
        <v>21</v>
      </c>
      <c r="D251">
        <v>16</v>
      </c>
      <c r="E251" s="3">
        <v>315.91000000000003</v>
      </c>
      <c r="F251">
        <v>1</v>
      </c>
      <c r="G251" s="6">
        <v>1455.83</v>
      </c>
      <c r="H251" t="s">
        <v>29</v>
      </c>
      <c r="I251" t="s">
        <v>44</v>
      </c>
      <c r="J251" t="str">
        <f>Table134[[#This Row],[First Name]]&amp;" "&amp;Table134[[#This Row],[Last Name]]</f>
        <v>Grace Brown</v>
      </c>
      <c r="K251" t="s">
        <v>45</v>
      </c>
      <c r="L251" s="5">
        <f>Table134[[#This Row],[Calls Reached]]/Table134[[#This Row],[Total Calls]]</f>
        <v>0.76190476190476186</v>
      </c>
      <c r="M251" s="5">
        <f>Table134[[#This Row],[Deals Closed]]/Table134[[#This Row],[Calls Reached]]</f>
        <v>6.25E-2</v>
      </c>
      <c r="N251" s="6">
        <f>IFERROR(Table134[[#This Row],[Deal Value ($)]]/Table134[[#This Row],[Deals Closed]],0)</f>
        <v>1455.83</v>
      </c>
      <c r="O251" s="6">
        <f>Table134[[#This Row],[Deal Value ($)]]/Table134[[#This Row],[Total Calls]]</f>
        <v>69.325238095238092</v>
      </c>
      <c r="P251" t="str">
        <f>IF(Table134[[#This Row],[Conversion Rate]]&gt;=20%,"High","Low")</f>
        <v>Low</v>
      </c>
    </row>
    <row r="252" spans="1:16" x14ac:dyDescent="0.25">
      <c r="A252" s="2">
        <v>45444</v>
      </c>
      <c r="B252" s="2" t="str">
        <f>TEXT(Table134[[#This Row],[Date]],"MMM")</f>
        <v>Jun</v>
      </c>
      <c r="C252">
        <v>69</v>
      </c>
      <c r="D252">
        <v>16</v>
      </c>
      <c r="E252" s="3">
        <v>495.32</v>
      </c>
      <c r="F252">
        <v>0</v>
      </c>
      <c r="G252" s="6">
        <v>1262.99</v>
      </c>
      <c r="H252" t="s">
        <v>28</v>
      </c>
      <c r="I252" t="s">
        <v>43</v>
      </c>
      <c r="J252" t="str">
        <f>Table134[[#This Row],[First Name]]&amp;" "&amp;Table134[[#This Row],[Last Name]]</f>
        <v>Vicky Williams</v>
      </c>
      <c r="K252" t="s">
        <v>46</v>
      </c>
      <c r="L252" s="5">
        <f>Table134[[#This Row],[Calls Reached]]/Table134[[#This Row],[Total Calls]]</f>
        <v>0.2318840579710145</v>
      </c>
      <c r="M252" s="5">
        <f>Table134[[#This Row],[Deals Closed]]/Table134[[#This Row],[Calls Reached]]</f>
        <v>0</v>
      </c>
      <c r="N252" s="6">
        <f>IFERROR(Table134[[#This Row],[Deal Value ($)]]/Table134[[#This Row],[Deals Closed]],0)</f>
        <v>0</v>
      </c>
      <c r="O252" s="6">
        <f>Table134[[#This Row],[Deal Value ($)]]/Table134[[#This Row],[Total Calls]]</f>
        <v>18.304202898550724</v>
      </c>
      <c r="P252" t="str">
        <f>IF(Table134[[#This Row],[Conversion Rate]]&gt;=20%,"High","Low")</f>
        <v>Low</v>
      </c>
    </row>
    <row r="253" spans="1:16" x14ac:dyDescent="0.25">
      <c r="A253" s="2">
        <v>45444</v>
      </c>
      <c r="B253" s="2" t="str">
        <f>TEXT(Table134[[#This Row],[Date]],"MMM")</f>
        <v>Jun</v>
      </c>
      <c r="C253">
        <v>88</v>
      </c>
      <c r="D253">
        <v>18</v>
      </c>
      <c r="E253" s="3">
        <v>181.21</v>
      </c>
      <c r="F253">
        <v>4</v>
      </c>
      <c r="G253" s="6">
        <v>377.13</v>
      </c>
      <c r="H253" t="s">
        <v>27</v>
      </c>
      <c r="I253" t="s">
        <v>38</v>
      </c>
      <c r="J253" t="str">
        <f>Table134[[#This Row],[First Name]]&amp;" "&amp;Table134[[#This Row],[Last Name]]</f>
        <v>Will Rodriguez</v>
      </c>
      <c r="K253" t="s">
        <v>46</v>
      </c>
      <c r="L253" s="5">
        <f>Table134[[#This Row],[Calls Reached]]/Table134[[#This Row],[Total Calls]]</f>
        <v>0.20454545454545456</v>
      </c>
      <c r="M253" s="5">
        <f>Table134[[#This Row],[Deals Closed]]/Table134[[#This Row],[Calls Reached]]</f>
        <v>0.22222222222222221</v>
      </c>
      <c r="N253" s="6">
        <f>IFERROR(Table134[[#This Row],[Deal Value ($)]]/Table134[[#This Row],[Deals Closed]],0)</f>
        <v>94.282499999999999</v>
      </c>
      <c r="O253" s="6">
        <f>Table134[[#This Row],[Deal Value ($)]]/Table134[[#This Row],[Total Calls]]</f>
        <v>4.2855681818181814</v>
      </c>
      <c r="P253" t="str">
        <f>IF(Table134[[#This Row],[Conversion Rate]]&gt;=20%,"High","Low")</f>
        <v>High</v>
      </c>
    </row>
    <row r="254" spans="1:16" x14ac:dyDescent="0.25">
      <c r="A254" s="2">
        <v>45444</v>
      </c>
      <c r="B254" s="2" t="str">
        <f>TEXT(Table134[[#This Row],[Date]],"MMM")</f>
        <v>Jun</v>
      </c>
      <c r="C254">
        <v>28</v>
      </c>
      <c r="D254">
        <v>16</v>
      </c>
      <c r="E254" s="3">
        <v>506.95</v>
      </c>
      <c r="F254">
        <v>6</v>
      </c>
      <c r="G254" s="6">
        <v>3993.03</v>
      </c>
      <c r="H254" t="s">
        <v>26</v>
      </c>
      <c r="I254" t="s">
        <v>35</v>
      </c>
      <c r="J254" t="str">
        <f>Table134[[#This Row],[First Name]]&amp;" "&amp;Table134[[#This Row],[Last Name]]</f>
        <v>Darren Garcia</v>
      </c>
      <c r="K254" t="s">
        <v>45</v>
      </c>
      <c r="L254" s="5">
        <f>Table134[[#This Row],[Calls Reached]]/Table134[[#This Row],[Total Calls]]</f>
        <v>0.5714285714285714</v>
      </c>
      <c r="M254" s="5">
        <f>Table134[[#This Row],[Deals Closed]]/Table134[[#This Row],[Calls Reached]]</f>
        <v>0.375</v>
      </c>
      <c r="N254" s="6">
        <f>IFERROR(Table134[[#This Row],[Deal Value ($)]]/Table134[[#This Row],[Deals Closed]],0)</f>
        <v>665.505</v>
      </c>
      <c r="O254" s="6">
        <f>Table134[[#This Row],[Deal Value ($)]]/Table134[[#This Row],[Total Calls]]</f>
        <v>142.6082142857143</v>
      </c>
      <c r="P254" t="str">
        <f>IF(Table134[[#This Row],[Conversion Rate]]&gt;=20%,"High","Low")</f>
        <v>High</v>
      </c>
    </row>
    <row r="255" spans="1:16" x14ac:dyDescent="0.25">
      <c r="A255" s="2">
        <v>45444</v>
      </c>
      <c r="B255" s="2" t="str">
        <f>TEXT(Table134[[#This Row],[Date]],"MMM")</f>
        <v>Jun</v>
      </c>
      <c r="C255">
        <v>93</v>
      </c>
      <c r="D255">
        <v>5</v>
      </c>
      <c r="E255" s="3">
        <v>85.65</v>
      </c>
      <c r="F255">
        <v>5</v>
      </c>
      <c r="G255" s="6">
        <v>3913.17</v>
      </c>
      <c r="H255" t="s">
        <v>25</v>
      </c>
      <c r="I255" t="s">
        <v>39</v>
      </c>
      <c r="J255" t="str">
        <f>Table134[[#This Row],[First Name]]&amp;" "&amp;Table134[[#This Row],[Last Name]]</f>
        <v>Karol Jones</v>
      </c>
      <c r="K255" t="s">
        <v>46</v>
      </c>
      <c r="L255" s="5">
        <f>Table134[[#This Row],[Calls Reached]]/Table134[[#This Row],[Total Calls]]</f>
        <v>5.3763440860215055E-2</v>
      </c>
      <c r="M255" s="5">
        <f>Table134[[#This Row],[Deals Closed]]/Table134[[#This Row],[Calls Reached]]</f>
        <v>1</v>
      </c>
      <c r="N255" s="6">
        <f>IFERROR(Table134[[#This Row],[Deal Value ($)]]/Table134[[#This Row],[Deals Closed]],0)</f>
        <v>782.63400000000001</v>
      </c>
      <c r="O255" s="6">
        <f>Table134[[#This Row],[Deal Value ($)]]/Table134[[#This Row],[Total Calls]]</f>
        <v>42.077096774193549</v>
      </c>
      <c r="P255" t="str">
        <f>IF(Table134[[#This Row],[Conversion Rate]]&gt;=20%,"High","Low")</f>
        <v>High</v>
      </c>
    </row>
    <row r="256" spans="1:16" x14ac:dyDescent="0.25">
      <c r="A256" s="2">
        <v>45444</v>
      </c>
      <c r="B256" s="2" t="str">
        <f>TEXT(Table134[[#This Row],[Date]],"MMM")</f>
        <v>Jun</v>
      </c>
      <c r="C256">
        <v>54</v>
      </c>
      <c r="D256">
        <v>16</v>
      </c>
      <c r="E256" s="3">
        <v>334.41</v>
      </c>
      <c r="F256">
        <v>9</v>
      </c>
      <c r="G256" s="6">
        <v>1056.98</v>
      </c>
      <c r="H256" t="s">
        <v>18</v>
      </c>
      <c r="I256" t="s">
        <v>44</v>
      </c>
      <c r="J256" t="str">
        <f>Table134[[#This Row],[First Name]]&amp;" "&amp;Table134[[#This Row],[Last Name]]</f>
        <v>Chris Brown</v>
      </c>
      <c r="K256" t="s">
        <v>46</v>
      </c>
      <c r="L256" s="5">
        <f>Table134[[#This Row],[Calls Reached]]/Table134[[#This Row],[Total Calls]]</f>
        <v>0.29629629629629628</v>
      </c>
      <c r="M256" s="5">
        <f>Table134[[#This Row],[Deals Closed]]/Table134[[#This Row],[Calls Reached]]</f>
        <v>0.5625</v>
      </c>
      <c r="N256" s="6">
        <f>IFERROR(Table134[[#This Row],[Deal Value ($)]]/Table134[[#This Row],[Deals Closed]],0)</f>
        <v>117.44222222222223</v>
      </c>
      <c r="O256" s="6">
        <f>Table134[[#This Row],[Deal Value ($)]]/Table134[[#This Row],[Total Calls]]</f>
        <v>19.573703703703703</v>
      </c>
      <c r="P256" t="str">
        <f>IF(Table134[[#This Row],[Conversion Rate]]&gt;=20%,"High","Low")</f>
        <v>High</v>
      </c>
    </row>
    <row r="257" spans="1:16" x14ac:dyDescent="0.25">
      <c r="A257" s="2">
        <v>45444</v>
      </c>
      <c r="B257" s="2" t="str">
        <f>TEXT(Table134[[#This Row],[Date]],"MMM")</f>
        <v>Jun</v>
      </c>
      <c r="C257">
        <v>48</v>
      </c>
      <c r="D257">
        <v>14</v>
      </c>
      <c r="E257" s="3">
        <v>383.94</v>
      </c>
      <c r="F257">
        <v>3</v>
      </c>
      <c r="G257" s="6">
        <v>3173.36</v>
      </c>
      <c r="H257" t="s">
        <v>11</v>
      </c>
      <c r="I257" t="s">
        <v>40</v>
      </c>
      <c r="J257" t="str">
        <f>Table134[[#This Row],[First Name]]&amp;" "&amp;Table134[[#This Row],[Last Name]]</f>
        <v>Diana Davis</v>
      </c>
      <c r="K257" t="s">
        <v>45</v>
      </c>
      <c r="L257" s="5">
        <f>Table134[[#This Row],[Calls Reached]]/Table134[[#This Row],[Total Calls]]</f>
        <v>0.29166666666666669</v>
      </c>
      <c r="M257" s="5">
        <f>Table134[[#This Row],[Deals Closed]]/Table134[[#This Row],[Calls Reached]]</f>
        <v>0.21428571428571427</v>
      </c>
      <c r="N257" s="6">
        <f>IFERROR(Table134[[#This Row],[Deal Value ($)]]/Table134[[#This Row],[Deals Closed]],0)</f>
        <v>1057.7866666666666</v>
      </c>
      <c r="O257" s="6">
        <f>Table134[[#This Row],[Deal Value ($)]]/Table134[[#This Row],[Total Calls]]</f>
        <v>66.111666666666665</v>
      </c>
      <c r="P257" t="str">
        <f>IF(Table134[[#This Row],[Conversion Rate]]&gt;=20%,"High","Low")</f>
        <v>High</v>
      </c>
    </row>
    <row r="258" spans="1:16" x14ac:dyDescent="0.25">
      <c r="A258" s="2">
        <v>45444</v>
      </c>
      <c r="B258" s="2" t="str">
        <f>TEXT(Table134[[#This Row],[Date]],"MMM")</f>
        <v>Jun</v>
      </c>
      <c r="C258">
        <v>40</v>
      </c>
      <c r="D258">
        <v>6</v>
      </c>
      <c r="E258" s="3">
        <v>509.67</v>
      </c>
      <c r="F258">
        <v>4</v>
      </c>
      <c r="G258" s="6">
        <v>3330.44</v>
      </c>
      <c r="H258" t="s">
        <v>20</v>
      </c>
      <c r="I258" t="s">
        <v>42</v>
      </c>
      <c r="J258" t="str">
        <f>Table134[[#This Row],[First Name]]&amp;" "&amp;Table134[[#This Row],[Last Name]]</f>
        <v>Richard Martinez</v>
      </c>
      <c r="K258" t="s">
        <v>46</v>
      </c>
      <c r="L258" s="5">
        <f>Table134[[#This Row],[Calls Reached]]/Table134[[#This Row],[Total Calls]]</f>
        <v>0.15</v>
      </c>
      <c r="M258" s="5">
        <f>Table134[[#This Row],[Deals Closed]]/Table134[[#This Row],[Calls Reached]]</f>
        <v>0.66666666666666663</v>
      </c>
      <c r="N258" s="6">
        <f>IFERROR(Table134[[#This Row],[Deal Value ($)]]/Table134[[#This Row],[Deals Closed]],0)</f>
        <v>832.61</v>
      </c>
      <c r="O258" s="6">
        <f>Table134[[#This Row],[Deal Value ($)]]/Table134[[#This Row],[Total Calls]]</f>
        <v>83.260999999999996</v>
      </c>
      <c r="P258" t="str">
        <f>IF(Table134[[#This Row],[Conversion Rate]]&gt;=20%,"High","Low")</f>
        <v>High</v>
      </c>
    </row>
    <row r="259" spans="1:16" x14ac:dyDescent="0.25">
      <c r="A259" s="2">
        <v>45444</v>
      </c>
      <c r="B259" s="2" t="str">
        <f>TEXT(Table134[[#This Row],[Date]],"MMM")</f>
        <v>Jun</v>
      </c>
      <c r="C259">
        <v>73</v>
      </c>
      <c r="D259">
        <v>21</v>
      </c>
      <c r="E259" s="3">
        <v>601.02</v>
      </c>
      <c r="F259">
        <v>2</v>
      </c>
      <c r="G259" s="6">
        <v>364.56</v>
      </c>
      <c r="H259" t="s">
        <v>21</v>
      </c>
      <c r="I259" t="s">
        <v>35</v>
      </c>
      <c r="J259" t="str">
        <f>Table134[[#This Row],[First Name]]&amp;" "&amp;Table134[[#This Row],[Last Name]]</f>
        <v>Paul Garcia</v>
      </c>
      <c r="K259" t="s">
        <v>46</v>
      </c>
      <c r="L259" s="5">
        <f>Table134[[#This Row],[Calls Reached]]/Table134[[#This Row],[Total Calls]]</f>
        <v>0.28767123287671231</v>
      </c>
      <c r="M259" s="5">
        <f>Table134[[#This Row],[Deals Closed]]/Table134[[#This Row],[Calls Reached]]</f>
        <v>9.5238095238095233E-2</v>
      </c>
      <c r="N259" s="6">
        <f>IFERROR(Table134[[#This Row],[Deal Value ($)]]/Table134[[#This Row],[Deals Closed]],0)</f>
        <v>182.28</v>
      </c>
      <c r="O259" s="6">
        <f>Table134[[#This Row],[Deal Value ($)]]/Table134[[#This Row],[Total Calls]]</f>
        <v>4.993972602739726</v>
      </c>
      <c r="P259" t="str">
        <f>IF(Table134[[#This Row],[Conversion Rate]]&gt;=20%,"High","Low")</f>
        <v>Low</v>
      </c>
    </row>
    <row r="260" spans="1:16" x14ac:dyDescent="0.25">
      <c r="A260" s="2">
        <v>45444</v>
      </c>
      <c r="B260" s="2" t="str">
        <f>TEXT(Table134[[#This Row],[Date]],"MMM")</f>
        <v>Jun</v>
      </c>
      <c r="C260">
        <v>36</v>
      </c>
      <c r="D260">
        <v>9</v>
      </c>
      <c r="E260" s="3">
        <v>196.74</v>
      </c>
      <c r="F260">
        <v>1</v>
      </c>
      <c r="G260" s="6">
        <v>3760.57</v>
      </c>
      <c r="H260" t="s">
        <v>22</v>
      </c>
      <c r="I260" t="s">
        <v>42</v>
      </c>
      <c r="J260" t="str">
        <f>Table134[[#This Row],[First Name]]&amp;" "&amp;Table134[[#This Row],[Last Name]]</f>
        <v>Ian Martinez</v>
      </c>
      <c r="K260" t="s">
        <v>46</v>
      </c>
      <c r="L260" s="5">
        <f>Table134[[#This Row],[Calls Reached]]/Table134[[#This Row],[Total Calls]]</f>
        <v>0.25</v>
      </c>
      <c r="M260" s="5">
        <f>Table134[[#This Row],[Deals Closed]]/Table134[[#This Row],[Calls Reached]]</f>
        <v>0.1111111111111111</v>
      </c>
      <c r="N260" s="6">
        <f>IFERROR(Table134[[#This Row],[Deal Value ($)]]/Table134[[#This Row],[Deals Closed]],0)</f>
        <v>3760.57</v>
      </c>
      <c r="O260" s="6">
        <f>Table134[[#This Row],[Deal Value ($)]]/Table134[[#This Row],[Total Calls]]</f>
        <v>104.46027777777778</v>
      </c>
      <c r="P260" t="str">
        <f>IF(Table134[[#This Row],[Conversion Rate]]&gt;=20%,"High","Low")</f>
        <v>Low</v>
      </c>
    </row>
    <row r="261" spans="1:16" x14ac:dyDescent="0.25">
      <c r="A261" s="2">
        <v>45444</v>
      </c>
      <c r="B261" s="2" t="str">
        <f>TEXT(Table134[[#This Row],[Date]],"MMM")</f>
        <v>Jun</v>
      </c>
      <c r="C261">
        <v>58</v>
      </c>
      <c r="D261">
        <v>8</v>
      </c>
      <c r="E261" s="3">
        <v>196.58</v>
      </c>
      <c r="F261">
        <v>3</v>
      </c>
      <c r="G261" s="6">
        <v>692.47</v>
      </c>
      <c r="H261" t="s">
        <v>23</v>
      </c>
      <c r="I261" t="s">
        <v>41</v>
      </c>
      <c r="J261" t="str">
        <f>Table134[[#This Row],[First Name]]&amp;" "&amp;Table134[[#This Row],[Last Name]]</f>
        <v>Melissa Miller</v>
      </c>
      <c r="K261" t="s">
        <v>46</v>
      </c>
      <c r="L261" s="5">
        <f>Table134[[#This Row],[Calls Reached]]/Table134[[#This Row],[Total Calls]]</f>
        <v>0.13793103448275862</v>
      </c>
      <c r="M261" s="5">
        <f>Table134[[#This Row],[Deals Closed]]/Table134[[#This Row],[Calls Reached]]</f>
        <v>0.375</v>
      </c>
      <c r="N261" s="6">
        <f>IFERROR(Table134[[#This Row],[Deal Value ($)]]/Table134[[#This Row],[Deals Closed]],0)</f>
        <v>230.82333333333335</v>
      </c>
      <c r="O261" s="6">
        <f>Table134[[#This Row],[Deal Value ($)]]/Table134[[#This Row],[Total Calls]]</f>
        <v>11.939137931034484</v>
      </c>
      <c r="P261" t="str">
        <f>IF(Table134[[#This Row],[Conversion Rate]]&gt;=20%,"High","Low")</f>
        <v>High</v>
      </c>
    </row>
    <row r="262" spans="1:16" x14ac:dyDescent="0.25">
      <c r="A262" s="2">
        <v>45444</v>
      </c>
      <c r="B262" s="2" t="str">
        <f>TEXT(Table134[[#This Row],[Date]],"MMM")</f>
        <v>Jun</v>
      </c>
      <c r="C262">
        <v>100</v>
      </c>
      <c r="D262">
        <v>5</v>
      </c>
      <c r="E262" s="3">
        <v>153.87</v>
      </c>
      <c r="F262">
        <v>2</v>
      </c>
      <c r="G262" s="6">
        <v>1190.24</v>
      </c>
      <c r="H262" t="s">
        <v>24</v>
      </c>
      <c r="I262" t="s">
        <v>35</v>
      </c>
      <c r="J262" t="str">
        <f>Table134[[#This Row],[First Name]]&amp;" "&amp;Table134[[#This Row],[Last Name]]</f>
        <v>Alex Garcia</v>
      </c>
      <c r="K262" t="s">
        <v>45</v>
      </c>
      <c r="L262" s="5">
        <f>Table134[[#This Row],[Calls Reached]]/Table134[[#This Row],[Total Calls]]</f>
        <v>0.05</v>
      </c>
      <c r="M262" s="5">
        <f>Table134[[#This Row],[Deals Closed]]/Table134[[#This Row],[Calls Reached]]</f>
        <v>0.4</v>
      </c>
      <c r="N262" s="6">
        <f>IFERROR(Table134[[#This Row],[Deal Value ($)]]/Table134[[#This Row],[Deals Closed]],0)</f>
        <v>595.12</v>
      </c>
      <c r="O262" s="6">
        <f>Table134[[#This Row],[Deal Value ($)]]/Table134[[#This Row],[Total Calls]]</f>
        <v>11.9024</v>
      </c>
      <c r="P262" t="str">
        <f>IF(Table134[[#This Row],[Conversion Rate]]&gt;=20%,"High","Low")</f>
        <v>High</v>
      </c>
    </row>
    <row r="263" spans="1:16" x14ac:dyDescent="0.25">
      <c r="A263" s="2">
        <v>45446</v>
      </c>
      <c r="B263" s="2" t="str">
        <f>TEXT(Table134[[#This Row],[Date]],"MMM")</f>
        <v>Jun</v>
      </c>
      <c r="C263">
        <v>73</v>
      </c>
      <c r="D263">
        <v>18</v>
      </c>
      <c r="E263" s="3">
        <v>442.36558627693961</v>
      </c>
      <c r="F263">
        <v>4</v>
      </c>
      <c r="G263" s="6">
        <v>4614.853756662319</v>
      </c>
      <c r="H263" t="s">
        <v>48</v>
      </c>
      <c r="I263" t="s">
        <v>42</v>
      </c>
      <c r="J263" t="str">
        <f>Table134[[#This Row],[First Name]]&amp;" "&amp;Table134[[#This Row],[Last Name]]</f>
        <v>Anna Martinez</v>
      </c>
      <c r="K263" t="s">
        <v>46</v>
      </c>
      <c r="L263" s="5">
        <f>Table134[[#This Row],[Calls Reached]]/Table134[[#This Row],[Total Calls]]</f>
        <v>0.24657534246575341</v>
      </c>
      <c r="M263" s="5">
        <f>Table134[[#This Row],[Deals Closed]]/Table134[[#This Row],[Calls Reached]]</f>
        <v>0.22222222222222221</v>
      </c>
      <c r="N263" s="6">
        <f>IFERROR(Table134[[#This Row],[Deal Value ($)]]/Table134[[#This Row],[Deals Closed]],0)</f>
        <v>1153.7134391655798</v>
      </c>
      <c r="O263" s="6">
        <f>Table134[[#This Row],[Deal Value ($)]]/Table134[[#This Row],[Total Calls]]</f>
        <v>63.21717474879889</v>
      </c>
      <c r="P263" t="str">
        <f>IF(Table134[[#This Row],[Conversion Rate]]&gt;=20%,"High","Low")</f>
        <v>High</v>
      </c>
    </row>
    <row r="264" spans="1:16" x14ac:dyDescent="0.25">
      <c r="A264" s="2">
        <v>45447</v>
      </c>
      <c r="B264" s="2" t="str">
        <f>TEXT(Table134[[#This Row],[Date]],"MMM")</f>
        <v>Jun</v>
      </c>
      <c r="C264">
        <v>60</v>
      </c>
      <c r="D264">
        <v>52</v>
      </c>
      <c r="E264" s="3">
        <v>181.30846967244571</v>
      </c>
      <c r="F264">
        <v>18</v>
      </c>
      <c r="G264" s="6">
        <v>2384.467362014329</v>
      </c>
      <c r="H264" t="s">
        <v>12</v>
      </c>
      <c r="I264" t="s">
        <v>44</v>
      </c>
      <c r="J264" t="str">
        <f>Table134[[#This Row],[First Name]]&amp;" "&amp;Table134[[#This Row],[Last Name]]</f>
        <v>Jake Brown</v>
      </c>
      <c r="K264" t="s">
        <v>46</v>
      </c>
      <c r="L264" s="5">
        <f>Table134[[#This Row],[Calls Reached]]/Table134[[#This Row],[Total Calls]]</f>
        <v>0.8666666666666667</v>
      </c>
      <c r="M264" s="5">
        <f>Table134[[#This Row],[Deals Closed]]/Table134[[#This Row],[Calls Reached]]</f>
        <v>0.34615384615384615</v>
      </c>
      <c r="N264" s="6">
        <f>IFERROR(Table134[[#This Row],[Deal Value ($)]]/Table134[[#This Row],[Deals Closed]],0)</f>
        <v>132.47040900079605</v>
      </c>
      <c r="O264" s="6">
        <f>Table134[[#This Row],[Deal Value ($)]]/Table134[[#This Row],[Total Calls]]</f>
        <v>39.741122700238819</v>
      </c>
      <c r="P264" t="str">
        <f>IF(Table134[[#This Row],[Conversion Rate]]&gt;=20%,"High","Low")</f>
        <v>High</v>
      </c>
    </row>
    <row r="265" spans="1:16" x14ac:dyDescent="0.25">
      <c r="A265" s="2">
        <v>45448</v>
      </c>
      <c r="B265" s="2" t="str">
        <f>TEXT(Table134[[#This Row],[Date]],"MMM")</f>
        <v>Jun</v>
      </c>
      <c r="C265">
        <v>66</v>
      </c>
      <c r="D265">
        <v>57</v>
      </c>
      <c r="E265" s="3">
        <v>555.46359224692128</v>
      </c>
      <c r="F265">
        <v>13</v>
      </c>
      <c r="G265" s="6">
        <v>2224.123377122738</v>
      </c>
      <c r="H265" t="s">
        <v>18</v>
      </c>
      <c r="I265" t="s">
        <v>44</v>
      </c>
      <c r="J265" t="str">
        <f>Table134[[#This Row],[First Name]]&amp;" "&amp;Table134[[#This Row],[Last Name]]</f>
        <v>Chris Brown</v>
      </c>
      <c r="K265" t="s">
        <v>46</v>
      </c>
      <c r="L265" s="5">
        <f>Table134[[#This Row],[Calls Reached]]/Table134[[#This Row],[Total Calls]]</f>
        <v>0.86363636363636365</v>
      </c>
      <c r="M265" s="5">
        <f>Table134[[#This Row],[Deals Closed]]/Table134[[#This Row],[Calls Reached]]</f>
        <v>0.22807017543859648</v>
      </c>
      <c r="N265" s="6">
        <f>IFERROR(Table134[[#This Row],[Deal Value ($)]]/Table134[[#This Row],[Deals Closed]],0)</f>
        <v>171.08641362482601</v>
      </c>
      <c r="O265" s="6">
        <f>Table134[[#This Row],[Deal Value ($)]]/Table134[[#This Row],[Total Calls]]</f>
        <v>33.698839047314209</v>
      </c>
      <c r="P265" t="str">
        <f>IF(Table134[[#This Row],[Conversion Rate]]&gt;=20%,"High","Low")</f>
        <v>High</v>
      </c>
    </row>
    <row r="266" spans="1:16" x14ac:dyDescent="0.25">
      <c r="A266" s="2">
        <v>45449</v>
      </c>
      <c r="B266" s="2" t="str">
        <f>TEXT(Table134[[#This Row],[Date]],"MMM")</f>
        <v>Jun</v>
      </c>
      <c r="C266">
        <v>57</v>
      </c>
      <c r="D266">
        <v>48</v>
      </c>
      <c r="E266" s="3">
        <v>511.26862146158447</v>
      </c>
      <c r="F266">
        <v>25</v>
      </c>
      <c r="G266" s="6">
        <v>2835.1296737727689</v>
      </c>
      <c r="H266" t="s">
        <v>34</v>
      </c>
      <c r="I266" t="s">
        <v>36</v>
      </c>
      <c r="J266" t="str">
        <f>Table134[[#This Row],[First Name]]&amp;" "&amp;Table134[[#This Row],[Last Name]]</f>
        <v>Mimi Smith</v>
      </c>
      <c r="K266" t="s">
        <v>46</v>
      </c>
      <c r="L266" s="5">
        <f>Table134[[#This Row],[Calls Reached]]/Table134[[#This Row],[Total Calls]]</f>
        <v>0.84210526315789469</v>
      </c>
      <c r="M266" s="5">
        <f>Table134[[#This Row],[Deals Closed]]/Table134[[#This Row],[Calls Reached]]</f>
        <v>0.52083333333333337</v>
      </c>
      <c r="N266" s="6">
        <f>IFERROR(Table134[[#This Row],[Deal Value ($)]]/Table134[[#This Row],[Deals Closed]],0)</f>
        <v>113.40518695091076</v>
      </c>
      <c r="O266" s="6">
        <f>Table134[[#This Row],[Deal Value ($)]]/Table134[[#This Row],[Total Calls]]</f>
        <v>49.739117083732786</v>
      </c>
      <c r="P266" t="str">
        <f>IF(Table134[[#This Row],[Conversion Rate]]&gt;=20%,"High","Low")</f>
        <v>High</v>
      </c>
    </row>
    <row r="267" spans="1:16" x14ac:dyDescent="0.25">
      <c r="A267" s="2">
        <v>45450</v>
      </c>
      <c r="B267" s="2" t="str">
        <f>TEXT(Table134[[#This Row],[Date]],"MMM")</f>
        <v>Jun</v>
      </c>
      <c r="C267">
        <v>84</v>
      </c>
      <c r="D267">
        <v>51</v>
      </c>
      <c r="E267" s="3">
        <v>574.89995664596199</v>
      </c>
      <c r="F267">
        <v>3</v>
      </c>
      <c r="G267" s="6">
        <v>711.3468504877477</v>
      </c>
      <c r="H267" t="s">
        <v>48</v>
      </c>
      <c r="I267" t="s">
        <v>37</v>
      </c>
      <c r="J267" t="str">
        <f>Table134[[#This Row],[First Name]]&amp;" "&amp;Table134[[#This Row],[Last Name]]</f>
        <v>Anna Johnson</v>
      </c>
      <c r="K267" t="s">
        <v>45</v>
      </c>
      <c r="L267" s="5">
        <f>Table134[[#This Row],[Calls Reached]]/Table134[[#This Row],[Total Calls]]</f>
        <v>0.6071428571428571</v>
      </c>
      <c r="M267" s="5">
        <f>Table134[[#This Row],[Deals Closed]]/Table134[[#This Row],[Calls Reached]]</f>
        <v>5.8823529411764705E-2</v>
      </c>
      <c r="N267" s="6">
        <f>IFERROR(Table134[[#This Row],[Deal Value ($)]]/Table134[[#This Row],[Deals Closed]],0)</f>
        <v>237.11561682924923</v>
      </c>
      <c r="O267" s="6">
        <f>Table134[[#This Row],[Deal Value ($)]]/Table134[[#This Row],[Total Calls]]</f>
        <v>8.468414886758902</v>
      </c>
      <c r="P267" t="str">
        <f>IF(Table134[[#This Row],[Conversion Rate]]&gt;=20%,"High","Low")</f>
        <v>Low</v>
      </c>
    </row>
    <row r="268" spans="1:16" x14ac:dyDescent="0.25">
      <c r="A268" s="2">
        <v>45453</v>
      </c>
      <c r="B268" s="2" t="str">
        <f>TEXT(Table134[[#This Row],[Date]],"MMM")</f>
        <v>Jun</v>
      </c>
      <c r="C268">
        <v>84</v>
      </c>
      <c r="D268">
        <v>35</v>
      </c>
      <c r="E268" s="3">
        <v>462.85975419418003</v>
      </c>
      <c r="F268">
        <v>24</v>
      </c>
      <c r="G268" s="6">
        <v>1248.2751594023571</v>
      </c>
      <c r="H268" t="s">
        <v>12</v>
      </c>
      <c r="I268" t="s">
        <v>40</v>
      </c>
      <c r="J268" t="str">
        <f>Table134[[#This Row],[First Name]]&amp;" "&amp;Table134[[#This Row],[Last Name]]</f>
        <v>Jake Davis</v>
      </c>
      <c r="K268" t="s">
        <v>45</v>
      </c>
      <c r="L268" s="5">
        <f>Table134[[#This Row],[Calls Reached]]/Table134[[#This Row],[Total Calls]]</f>
        <v>0.41666666666666669</v>
      </c>
      <c r="M268" s="5">
        <f>Table134[[#This Row],[Deals Closed]]/Table134[[#This Row],[Calls Reached]]</f>
        <v>0.68571428571428572</v>
      </c>
      <c r="N268" s="6">
        <f>IFERROR(Table134[[#This Row],[Deal Value ($)]]/Table134[[#This Row],[Deals Closed]],0)</f>
        <v>52.011464975098214</v>
      </c>
      <c r="O268" s="6">
        <f>Table134[[#This Row],[Deal Value ($)]]/Table134[[#This Row],[Total Calls]]</f>
        <v>14.860418564313775</v>
      </c>
      <c r="P268" t="str">
        <f>IF(Table134[[#This Row],[Conversion Rate]]&gt;=20%,"High","Low")</f>
        <v>High</v>
      </c>
    </row>
    <row r="269" spans="1:16" x14ac:dyDescent="0.25">
      <c r="A269" s="2">
        <v>45454</v>
      </c>
      <c r="B269" s="2" t="str">
        <f>TEXT(Table134[[#This Row],[Date]],"MMM")</f>
        <v>Jun</v>
      </c>
      <c r="C269">
        <v>82</v>
      </c>
      <c r="D269">
        <v>59</v>
      </c>
      <c r="E269" s="3">
        <v>406.70759796789491</v>
      </c>
      <c r="F269">
        <v>24</v>
      </c>
      <c r="G269" s="6">
        <v>3821.1512739186669</v>
      </c>
      <c r="H269" t="s">
        <v>9</v>
      </c>
      <c r="I269" t="s">
        <v>40</v>
      </c>
      <c r="J269" t="str">
        <f>Table134[[#This Row],[First Name]]&amp;" "&amp;Table134[[#This Row],[Last Name]]</f>
        <v>Evan Davis</v>
      </c>
      <c r="K269" t="s">
        <v>46</v>
      </c>
      <c r="L269" s="5">
        <f>Table134[[#This Row],[Calls Reached]]/Table134[[#This Row],[Total Calls]]</f>
        <v>0.71951219512195119</v>
      </c>
      <c r="M269" s="5">
        <f>Table134[[#This Row],[Deals Closed]]/Table134[[#This Row],[Calls Reached]]</f>
        <v>0.40677966101694918</v>
      </c>
      <c r="N269" s="6">
        <f>IFERROR(Table134[[#This Row],[Deal Value ($)]]/Table134[[#This Row],[Deals Closed]],0)</f>
        <v>159.21463641327779</v>
      </c>
      <c r="O269" s="6">
        <f>Table134[[#This Row],[Deal Value ($)]]/Table134[[#This Row],[Total Calls]]</f>
        <v>46.599405779495939</v>
      </c>
      <c r="P269" t="str">
        <f>IF(Table134[[#This Row],[Conversion Rate]]&gt;=20%,"High","Low")</f>
        <v>High</v>
      </c>
    </row>
    <row r="270" spans="1:16" x14ac:dyDescent="0.25">
      <c r="A270" s="2">
        <v>45455</v>
      </c>
      <c r="B270" s="2" t="str">
        <f>TEXT(Table134[[#This Row],[Date]],"MMM")</f>
        <v>Jun</v>
      </c>
      <c r="C270">
        <v>54</v>
      </c>
      <c r="D270">
        <v>34</v>
      </c>
      <c r="E270" s="3">
        <v>309.12151814530938</v>
      </c>
      <c r="F270">
        <v>17</v>
      </c>
      <c r="G270" s="6">
        <v>872.59400566306908</v>
      </c>
      <c r="H270" t="s">
        <v>18</v>
      </c>
      <c r="I270" t="s">
        <v>37</v>
      </c>
      <c r="J270" t="str">
        <f>Table134[[#This Row],[First Name]]&amp;" "&amp;Table134[[#This Row],[Last Name]]</f>
        <v>Chris Johnson</v>
      </c>
      <c r="K270" t="s">
        <v>46</v>
      </c>
      <c r="L270" s="5">
        <f>Table134[[#This Row],[Calls Reached]]/Table134[[#This Row],[Total Calls]]</f>
        <v>0.62962962962962965</v>
      </c>
      <c r="M270" s="5">
        <f>Table134[[#This Row],[Deals Closed]]/Table134[[#This Row],[Calls Reached]]</f>
        <v>0.5</v>
      </c>
      <c r="N270" s="6">
        <f>IFERROR(Table134[[#This Row],[Deal Value ($)]]/Table134[[#This Row],[Deals Closed]],0)</f>
        <v>51.32905915665112</v>
      </c>
      <c r="O270" s="6">
        <f>Table134[[#This Row],[Deal Value ($)]]/Table134[[#This Row],[Total Calls]]</f>
        <v>16.159148253019797</v>
      </c>
      <c r="P270" t="str">
        <f>IF(Table134[[#This Row],[Conversion Rate]]&gt;=20%,"High","Low")</f>
        <v>High</v>
      </c>
    </row>
    <row r="271" spans="1:16" x14ac:dyDescent="0.25">
      <c r="A271" s="2">
        <v>45456</v>
      </c>
      <c r="B271" s="2" t="str">
        <f>TEXT(Table134[[#This Row],[Date]],"MMM")</f>
        <v>Jun</v>
      </c>
      <c r="C271">
        <v>91</v>
      </c>
      <c r="D271">
        <v>33</v>
      </c>
      <c r="E271" s="3">
        <v>566.3642416770067</v>
      </c>
      <c r="F271">
        <v>39</v>
      </c>
      <c r="G271" s="6">
        <v>3214.1844925987471</v>
      </c>
      <c r="H271" t="s">
        <v>9</v>
      </c>
      <c r="I271" t="s">
        <v>44</v>
      </c>
      <c r="J271" t="str">
        <f>Table134[[#This Row],[First Name]]&amp;" "&amp;Table134[[#This Row],[Last Name]]</f>
        <v>Evan Brown</v>
      </c>
      <c r="K271" t="s">
        <v>45</v>
      </c>
      <c r="L271" s="5">
        <f>Table134[[#This Row],[Calls Reached]]/Table134[[#This Row],[Total Calls]]</f>
        <v>0.36263736263736263</v>
      </c>
      <c r="M271" s="5">
        <f>Table134[[#This Row],[Deals Closed]]/Table134[[#This Row],[Calls Reached]]</f>
        <v>1.1818181818181819</v>
      </c>
      <c r="N271" s="6">
        <f>IFERROR(Table134[[#This Row],[Deal Value ($)]]/Table134[[#This Row],[Deals Closed]],0)</f>
        <v>82.414986989711466</v>
      </c>
      <c r="O271" s="6">
        <f>Table134[[#This Row],[Deal Value ($)]]/Table134[[#This Row],[Total Calls]]</f>
        <v>35.320708709876342</v>
      </c>
      <c r="P271" t="str">
        <f>IF(Table134[[#This Row],[Conversion Rate]]&gt;=20%,"High","Low")</f>
        <v>High</v>
      </c>
    </row>
    <row r="272" spans="1:16" x14ac:dyDescent="0.25">
      <c r="A272" s="2">
        <v>45457</v>
      </c>
      <c r="B272" s="2" t="str">
        <f>TEXT(Table134[[#This Row],[Date]],"MMM")</f>
        <v>Jun</v>
      </c>
      <c r="C272">
        <v>88</v>
      </c>
      <c r="D272">
        <v>22</v>
      </c>
      <c r="E272" s="3">
        <v>533.03194475020416</v>
      </c>
      <c r="F272">
        <v>7</v>
      </c>
      <c r="G272" s="6">
        <v>1604.070993565944</v>
      </c>
      <c r="H272" t="s">
        <v>49</v>
      </c>
      <c r="I272" t="s">
        <v>36</v>
      </c>
      <c r="J272" t="str">
        <f>Table134[[#This Row],[First Name]]&amp;" "&amp;Table134[[#This Row],[Last Name]]</f>
        <v>Jane Smith</v>
      </c>
      <c r="K272" t="s">
        <v>45</v>
      </c>
      <c r="L272" s="5">
        <f>Table134[[#This Row],[Calls Reached]]/Table134[[#This Row],[Total Calls]]</f>
        <v>0.25</v>
      </c>
      <c r="M272" s="5">
        <f>Table134[[#This Row],[Deals Closed]]/Table134[[#This Row],[Calls Reached]]</f>
        <v>0.31818181818181818</v>
      </c>
      <c r="N272" s="6">
        <f>IFERROR(Table134[[#This Row],[Deal Value ($)]]/Table134[[#This Row],[Deals Closed]],0)</f>
        <v>229.15299908084916</v>
      </c>
      <c r="O272" s="6">
        <f>Table134[[#This Row],[Deal Value ($)]]/Table134[[#This Row],[Total Calls]]</f>
        <v>18.228079472340273</v>
      </c>
      <c r="P272" t="str">
        <f>IF(Table134[[#This Row],[Conversion Rate]]&gt;=20%,"High","Low")</f>
        <v>High</v>
      </c>
    </row>
    <row r="273" spans="1:16" x14ac:dyDescent="0.25">
      <c r="A273" s="2">
        <v>45460</v>
      </c>
      <c r="B273" s="2" t="str">
        <f>TEXT(Table134[[#This Row],[Date]],"MMM")</f>
        <v>Jun</v>
      </c>
      <c r="C273">
        <v>90</v>
      </c>
      <c r="D273">
        <v>69</v>
      </c>
      <c r="E273" s="3">
        <v>122.6093350530947</v>
      </c>
      <c r="F273">
        <v>38</v>
      </c>
      <c r="G273" s="6">
        <v>2251.8302631888951</v>
      </c>
      <c r="H273" t="s">
        <v>47</v>
      </c>
      <c r="I273" t="s">
        <v>37</v>
      </c>
      <c r="J273" t="str">
        <f>Table134[[#This Row],[First Name]]&amp;" "&amp;Table134[[#This Row],[Last Name]]</f>
        <v>John Johnson</v>
      </c>
      <c r="K273" t="s">
        <v>46</v>
      </c>
      <c r="L273" s="5">
        <f>Table134[[#This Row],[Calls Reached]]/Table134[[#This Row],[Total Calls]]</f>
        <v>0.76666666666666672</v>
      </c>
      <c r="M273" s="5">
        <f>Table134[[#This Row],[Deals Closed]]/Table134[[#This Row],[Calls Reached]]</f>
        <v>0.55072463768115942</v>
      </c>
      <c r="N273" s="6">
        <f>IFERROR(Table134[[#This Row],[Deal Value ($)]]/Table134[[#This Row],[Deals Closed]],0)</f>
        <v>59.258691136549871</v>
      </c>
      <c r="O273" s="6">
        <f>Table134[[#This Row],[Deal Value ($)]]/Table134[[#This Row],[Total Calls]]</f>
        <v>25.020336257654389</v>
      </c>
      <c r="P273" t="str">
        <f>IF(Table134[[#This Row],[Conversion Rate]]&gt;=20%,"High","Low")</f>
        <v>High</v>
      </c>
    </row>
    <row r="274" spans="1:16" x14ac:dyDescent="0.25">
      <c r="A274" s="2">
        <v>45461</v>
      </c>
      <c r="B274" s="2" t="str">
        <f>TEXT(Table134[[#This Row],[Date]],"MMM")</f>
        <v>Jun</v>
      </c>
      <c r="C274">
        <v>77</v>
      </c>
      <c r="D274">
        <v>16</v>
      </c>
      <c r="E274" s="3">
        <v>113.18348724862599</v>
      </c>
      <c r="F274">
        <v>39</v>
      </c>
      <c r="G274" s="6">
        <v>1799.121815468149</v>
      </c>
      <c r="H274" t="s">
        <v>18</v>
      </c>
      <c r="I274" t="s">
        <v>36</v>
      </c>
      <c r="J274" t="str">
        <f>Table134[[#This Row],[First Name]]&amp;" "&amp;Table134[[#This Row],[Last Name]]</f>
        <v>Chris Smith</v>
      </c>
      <c r="K274" t="s">
        <v>46</v>
      </c>
      <c r="L274" s="5">
        <f>Table134[[#This Row],[Calls Reached]]/Table134[[#This Row],[Total Calls]]</f>
        <v>0.20779220779220781</v>
      </c>
      <c r="M274" s="5">
        <f>Table134[[#This Row],[Deals Closed]]/Table134[[#This Row],[Calls Reached]]</f>
        <v>2.4375</v>
      </c>
      <c r="N274" s="6">
        <f>IFERROR(Table134[[#This Row],[Deal Value ($)]]/Table134[[#This Row],[Deals Closed]],0)</f>
        <v>46.131328601747406</v>
      </c>
      <c r="O274" s="6">
        <f>Table134[[#This Row],[Deal Value ($)]]/Table134[[#This Row],[Total Calls]]</f>
        <v>23.365218382703233</v>
      </c>
      <c r="P274" t="str">
        <f>IF(Table134[[#This Row],[Conversion Rate]]&gt;=20%,"High","Low")</f>
        <v>High</v>
      </c>
    </row>
    <row r="275" spans="1:16" x14ac:dyDescent="0.25">
      <c r="A275" s="2">
        <v>45462</v>
      </c>
      <c r="B275" s="2" t="str">
        <f>TEXT(Table134[[#This Row],[Date]],"MMM")</f>
        <v>Jun</v>
      </c>
      <c r="C275">
        <v>56</v>
      </c>
      <c r="D275">
        <v>66</v>
      </c>
      <c r="E275" s="3">
        <v>288.23168343902478</v>
      </c>
      <c r="F275">
        <v>13</v>
      </c>
      <c r="G275" s="6">
        <v>2100.5272240922709</v>
      </c>
      <c r="H275" t="s">
        <v>12</v>
      </c>
      <c r="I275" t="s">
        <v>36</v>
      </c>
      <c r="J275" t="str">
        <f>Table134[[#This Row],[First Name]]&amp;" "&amp;Table134[[#This Row],[Last Name]]</f>
        <v>Jake Smith</v>
      </c>
      <c r="K275" t="s">
        <v>46</v>
      </c>
      <c r="L275" s="5">
        <f>Table134[[#This Row],[Calls Reached]]/Table134[[#This Row],[Total Calls]]</f>
        <v>1.1785714285714286</v>
      </c>
      <c r="M275" s="5">
        <f>Table134[[#This Row],[Deals Closed]]/Table134[[#This Row],[Calls Reached]]</f>
        <v>0.19696969696969696</v>
      </c>
      <c r="N275" s="6">
        <f>IFERROR(Table134[[#This Row],[Deal Value ($)]]/Table134[[#This Row],[Deals Closed]],0)</f>
        <v>161.57901723786699</v>
      </c>
      <c r="O275" s="6">
        <f>Table134[[#This Row],[Deal Value ($)]]/Table134[[#This Row],[Total Calls]]</f>
        <v>37.50941471593341</v>
      </c>
      <c r="P275" t="str">
        <f>IF(Table134[[#This Row],[Conversion Rate]]&gt;=20%,"High","Low")</f>
        <v>Low</v>
      </c>
    </row>
    <row r="276" spans="1:16" x14ac:dyDescent="0.25">
      <c r="A276" s="2">
        <v>45463</v>
      </c>
      <c r="B276" s="2" t="str">
        <f>TEXT(Table134[[#This Row],[Date]],"MMM")</f>
        <v>Jun</v>
      </c>
      <c r="C276">
        <v>58</v>
      </c>
      <c r="D276">
        <v>45</v>
      </c>
      <c r="E276" s="3">
        <v>505.27666539091638</v>
      </c>
      <c r="F276">
        <v>31</v>
      </c>
      <c r="G276" s="6">
        <v>3735.7065733291051</v>
      </c>
      <c r="H276" t="s">
        <v>12</v>
      </c>
      <c r="I276" t="s">
        <v>36</v>
      </c>
      <c r="J276" t="str">
        <f>Table134[[#This Row],[First Name]]&amp;" "&amp;Table134[[#This Row],[Last Name]]</f>
        <v>Jake Smith</v>
      </c>
      <c r="K276" t="s">
        <v>46</v>
      </c>
      <c r="L276" s="5">
        <f>Table134[[#This Row],[Calls Reached]]/Table134[[#This Row],[Total Calls]]</f>
        <v>0.77586206896551724</v>
      </c>
      <c r="M276" s="5">
        <f>Table134[[#This Row],[Deals Closed]]/Table134[[#This Row],[Calls Reached]]</f>
        <v>0.68888888888888888</v>
      </c>
      <c r="N276" s="6">
        <f>IFERROR(Table134[[#This Row],[Deal Value ($)]]/Table134[[#This Row],[Deals Closed]],0)</f>
        <v>120.50666365577759</v>
      </c>
      <c r="O276" s="6">
        <f>Table134[[#This Row],[Deal Value ($)]]/Table134[[#This Row],[Total Calls]]</f>
        <v>64.40873402291561</v>
      </c>
      <c r="P276" t="str">
        <f>IF(Table134[[#This Row],[Conversion Rate]]&gt;=20%,"High","Low")</f>
        <v>High</v>
      </c>
    </row>
    <row r="277" spans="1:16" x14ac:dyDescent="0.25">
      <c r="A277" s="2">
        <v>45464</v>
      </c>
      <c r="B277" s="2" t="str">
        <f>TEXT(Table134[[#This Row],[Date]],"MMM")</f>
        <v>Jun</v>
      </c>
      <c r="C277">
        <v>57</v>
      </c>
      <c r="D277">
        <v>54</v>
      </c>
      <c r="E277" s="3">
        <v>593.63806465747223</v>
      </c>
      <c r="F277">
        <v>37</v>
      </c>
      <c r="G277" s="6">
        <v>1837.0477203042881</v>
      </c>
      <c r="H277" t="s">
        <v>49</v>
      </c>
      <c r="I277" t="s">
        <v>35</v>
      </c>
      <c r="J277" t="str">
        <f>Table134[[#This Row],[First Name]]&amp;" "&amp;Table134[[#This Row],[Last Name]]</f>
        <v>Jane Garcia</v>
      </c>
      <c r="K277" t="s">
        <v>45</v>
      </c>
      <c r="L277" s="5">
        <f>Table134[[#This Row],[Calls Reached]]/Table134[[#This Row],[Total Calls]]</f>
        <v>0.94736842105263153</v>
      </c>
      <c r="M277" s="5">
        <f>Table134[[#This Row],[Deals Closed]]/Table134[[#This Row],[Calls Reached]]</f>
        <v>0.68518518518518523</v>
      </c>
      <c r="N277" s="6">
        <f>IFERROR(Table134[[#This Row],[Deal Value ($)]]/Table134[[#This Row],[Deals Closed]],0)</f>
        <v>49.649938386602379</v>
      </c>
      <c r="O277" s="6">
        <f>Table134[[#This Row],[Deal Value ($)]]/Table134[[#This Row],[Total Calls]]</f>
        <v>32.228907373759441</v>
      </c>
      <c r="P277" t="str">
        <f>IF(Table134[[#This Row],[Conversion Rate]]&gt;=20%,"High","Low")</f>
        <v>High</v>
      </c>
    </row>
    <row r="278" spans="1:16" x14ac:dyDescent="0.25">
      <c r="A278" s="2">
        <v>45467</v>
      </c>
      <c r="B278" s="2" t="str">
        <f>TEXT(Table134[[#This Row],[Date]],"MMM")</f>
        <v>Jun</v>
      </c>
      <c r="C278">
        <v>61</v>
      </c>
      <c r="D278">
        <v>29</v>
      </c>
      <c r="E278" s="3">
        <v>175.2084455517641</v>
      </c>
      <c r="F278">
        <v>32</v>
      </c>
      <c r="G278" s="6">
        <v>3048.820881336037</v>
      </c>
      <c r="H278" t="s">
        <v>49</v>
      </c>
      <c r="I278" t="s">
        <v>42</v>
      </c>
      <c r="J278" t="str">
        <f>Table134[[#This Row],[First Name]]&amp;" "&amp;Table134[[#This Row],[Last Name]]</f>
        <v>Jane Martinez</v>
      </c>
      <c r="K278" t="s">
        <v>45</v>
      </c>
      <c r="L278" s="5">
        <f>Table134[[#This Row],[Calls Reached]]/Table134[[#This Row],[Total Calls]]</f>
        <v>0.47540983606557374</v>
      </c>
      <c r="M278" s="5">
        <f>Table134[[#This Row],[Deals Closed]]/Table134[[#This Row],[Calls Reached]]</f>
        <v>1.103448275862069</v>
      </c>
      <c r="N278" s="6">
        <f>IFERROR(Table134[[#This Row],[Deal Value ($)]]/Table134[[#This Row],[Deals Closed]],0)</f>
        <v>95.275652541751157</v>
      </c>
      <c r="O278" s="6">
        <f>Table134[[#This Row],[Deal Value ($)]]/Table134[[#This Row],[Total Calls]]</f>
        <v>49.980670185836672</v>
      </c>
      <c r="P278" t="str">
        <f>IF(Table134[[#This Row],[Conversion Rate]]&gt;=20%,"High","Low")</f>
        <v>High</v>
      </c>
    </row>
    <row r="279" spans="1:16" x14ac:dyDescent="0.25">
      <c r="A279" s="2">
        <v>45468</v>
      </c>
      <c r="B279" s="2" t="str">
        <f>TEXT(Table134[[#This Row],[Date]],"MMM")</f>
        <v>Jun</v>
      </c>
      <c r="C279">
        <v>83</v>
      </c>
      <c r="D279">
        <v>74</v>
      </c>
      <c r="E279" s="3">
        <v>397.06535767606749</v>
      </c>
      <c r="F279">
        <v>22</v>
      </c>
      <c r="G279" s="6">
        <v>2642.226809895948</v>
      </c>
      <c r="H279" t="s">
        <v>10</v>
      </c>
      <c r="I279" t="s">
        <v>36</v>
      </c>
      <c r="J279" t="str">
        <f>Table134[[#This Row],[First Name]]&amp;" "&amp;Table134[[#This Row],[Last Name]]</f>
        <v>Alice Smith</v>
      </c>
      <c r="K279" t="s">
        <v>45</v>
      </c>
      <c r="L279" s="5">
        <f>Table134[[#This Row],[Calls Reached]]/Table134[[#This Row],[Total Calls]]</f>
        <v>0.89156626506024095</v>
      </c>
      <c r="M279" s="5">
        <f>Table134[[#This Row],[Deals Closed]]/Table134[[#This Row],[Calls Reached]]</f>
        <v>0.29729729729729731</v>
      </c>
      <c r="N279" s="6">
        <f>IFERROR(Table134[[#This Row],[Deal Value ($)]]/Table134[[#This Row],[Deals Closed]],0)</f>
        <v>120.101218631634</v>
      </c>
      <c r="O279" s="6">
        <f>Table134[[#This Row],[Deal Value ($)]]/Table134[[#This Row],[Total Calls]]</f>
        <v>31.834057950553589</v>
      </c>
      <c r="P279" t="str">
        <f>IF(Table134[[#This Row],[Conversion Rate]]&gt;=20%,"High","Low")</f>
        <v>High</v>
      </c>
    </row>
    <row r="280" spans="1:16" x14ac:dyDescent="0.25">
      <c r="A280" s="2">
        <v>45469</v>
      </c>
      <c r="B280" s="2" t="str">
        <f>TEXT(Table134[[#This Row],[Date]],"MMM")</f>
        <v>Jun</v>
      </c>
      <c r="C280">
        <v>82</v>
      </c>
      <c r="D280">
        <v>17</v>
      </c>
      <c r="E280" s="3">
        <v>290.44542831551081</v>
      </c>
      <c r="F280">
        <v>14</v>
      </c>
      <c r="G280" s="6">
        <v>3486.520244131917</v>
      </c>
      <c r="H280" t="s">
        <v>18</v>
      </c>
      <c r="I280" t="s">
        <v>35</v>
      </c>
      <c r="J280" t="str">
        <f>Table134[[#This Row],[First Name]]&amp;" "&amp;Table134[[#This Row],[Last Name]]</f>
        <v>Chris Garcia</v>
      </c>
      <c r="K280" t="s">
        <v>46</v>
      </c>
      <c r="L280" s="5">
        <f>Table134[[#This Row],[Calls Reached]]/Table134[[#This Row],[Total Calls]]</f>
        <v>0.2073170731707317</v>
      </c>
      <c r="M280" s="5">
        <f>Table134[[#This Row],[Deals Closed]]/Table134[[#This Row],[Calls Reached]]</f>
        <v>0.82352941176470584</v>
      </c>
      <c r="N280" s="6">
        <f>IFERROR(Table134[[#This Row],[Deal Value ($)]]/Table134[[#This Row],[Deals Closed]],0)</f>
        <v>249.03716029513694</v>
      </c>
      <c r="O280" s="6">
        <f>Table134[[#This Row],[Deal Value ($)]]/Table134[[#This Row],[Total Calls]]</f>
        <v>42.518539562584351</v>
      </c>
      <c r="P280" t="str">
        <f>IF(Table134[[#This Row],[Conversion Rate]]&gt;=20%,"High","Low")</f>
        <v>High</v>
      </c>
    </row>
    <row r="281" spans="1:16" x14ac:dyDescent="0.25">
      <c r="A281" s="2">
        <v>45470</v>
      </c>
      <c r="B281" s="2" t="str">
        <f>TEXT(Table134[[#This Row],[Date]],"MMM")</f>
        <v>Jun</v>
      </c>
      <c r="C281">
        <v>97</v>
      </c>
      <c r="D281">
        <v>25</v>
      </c>
      <c r="E281" s="3">
        <v>584.95719890730152</v>
      </c>
      <c r="F281">
        <v>32</v>
      </c>
      <c r="G281" s="6">
        <v>4715.7338269614111</v>
      </c>
      <c r="H281" t="s">
        <v>9</v>
      </c>
      <c r="I281" t="s">
        <v>44</v>
      </c>
      <c r="J281" t="str">
        <f>Table134[[#This Row],[First Name]]&amp;" "&amp;Table134[[#This Row],[Last Name]]</f>
        <v>Evan Brown</v>
      </c>
      <c r="K281" t="s">
        <v>46</v>
      </c>
      <c r="L281" s="5">
        <f>Table134[[#This Row],[Calls Reached]]/Table134[[#This Row],[Total Calls]]</f>
        <v>0.25773195876288657</v>
      </c>
      <c r="M281" s="5">
        <f>Table134[[#This Row],[Deals Closed]]/Table134[[#This Row],[Calls Reached]]</f>
        <v>1.28</v>
      </c>
      <c r="N281" s="6">
        <f>IFERROR(Table134[[#This Row],[Deal Value ($)]]/Table134[[#This Row],[Deals Closed]],0)</f>
        <v>147.3666820925441</v>
      </c>
      <c r="O281" s="6">
        <f>Table134[[#This Row],[Deal Value ($)]]/Table134[[#This Row],[Total Calls]]</f>
        <v>48.615812649086713</v>
      </c>
      <c r="P281" t="str">
        <f>IF(Table134[[#This Row],[Conversion Rate]]&gt;=20%,"High","Low")</f>
        <v>High</v>
      </c>
    </row>
    <row r="282" spans="1:16" x14ac:dyDescent="0.25">
      <c r="A282" s="2">
        <v>45471</v>
      </c>
      <c r="B282" s="2" t="str">
        <f>TEXT(Table134[[#This Row],[Date]],"MMM")</f>
        <v>Jun</v>
      </c>
      <c r="C282">
        <v>72</v>
      </c>
      <c r="D282">
        <v>23</v>
      </c>
      <c r="E282" s="3">
        <v>521.05946156785433</v>
      </c>
      <c r="F282">
        <v>24</v>
      </c>
      <c r="G282" s="6">
        <v>3796.574437446126</v>
      </c>
      <c r="H282" t="s">
        <v>34</v>
      </c>
      <c r="I282" t="s">
        <v>37</v>
      </c>
      <c r="J282" t="str">
        <f>Table134[[#This Row],[First Name]]&amp;" "&amp;Table134[[#This Row],[Last Name]]</f>
        <v>Mimi Johnson</v>
      </c>
      <c r="K282" t="s">
        <v>45</v>
      </c>
      <c r="L282" s="5">
        <f>Table134[[#This Row],[Calls Reached]]/Table134[[#This Row],[Total Calls]]</f>
        <v>0.31944444444444442</v>
      </c>
      <c r="M282" s="5">
        <f>Table134[[#This Row],[Deals Closed]]/Table134[[#This Row],[Calls Reached]]</f>
        <v>1.0434782608695652</v>
      </c>
      <c r="N282" s="6">
        <f>IFERROR(Table134[[#This Row],[Deal Value ($)]]/Table134[[#This Row],[Deals Closed]],0)</f>
        <v>158.19060156025526</v>
      </c>
      <c r="O282" s="6">
        <f>Table134[[#This Row],[Deal Value ($)]]/Table134[[#This Row],[Total Calls]]</f>
        <v>52.730200520085084</v>
      </c>
      <c r="P282" t="str">
        <f>IF(Table134[[#This Row],[Conversion Rate]]&gt;=20%,"High","Low")</f>
        <v>High</v>
      </c>
    </row>
    <row r="283" spans="1:16" x14ac:dyDescent="0.25">
      <c r="A283" s="2">
        <v>45474</v>
      </c>
      <c r="B283" s="2" t="str">
        <f>TEXT(Table134[[#This Row],[Date]],"MMM")</f>
        <v>Jul</v>
      </c>
      <c r="C283">
        <v>34</v>
      </c>
      <c r="D283">
        <v>7</v>
      </c>
      <c r="E283" s="3">
        <v>199.39</v>
      </c>
      <c r="F283">
        <v>1</v>
      </c>
      <c r="G283" s="6">
        <v>3767.74</v>
      </c>
      <c r="H283" t="s">
        <v>22</v>
      </c>
      <c r="I283" t="s">
        <v>44</v>
      </c>
      <c r="J283" t="str">
        <f>Table134[[#This Row],[First Name]]&amp;" "&amp;Table134[[#This Row],[Last Name]]</f>
        <v>Ian Brown</v>
      </c>
      <c r="K283" t="s">
        <v>45</v>
      </c>
      <c r="L283" s="5">
        <f>Table134[[#This Row],[Calls Reached]]/Table134[[#This Row],[Total Calls]]</f>
        <v>0.20588235294117646</v>
      </c>
      <c r="M283" s="5">
        <f>Table134[[#This Row],[Deals Closed]]/Table134[[#This Row],[Calls Reached]]</f>
        <v>0.14285714285714285</v>
      </c>
      <c r="N283" s="6">
        <f>IFERROR(Table134[[#This Row],[Deal Value ($)]]/Table134[[#This Row],[Deals Closed]],0)</f>
        <v>3767.74</v>
      </c>
      <c r="O283" s="6">
        <f>Table134[[#This Row],[Deal Value ($)]]/Table134[[#This Row],[Total Calls]]</f>
        <v>110.81588235294117</v>
      </c>
      <c r="P283" t="str">
        <f>IF(Table134[[#This Row],[Conversion Rate]]&gt;=20%,"High","Low")</f>
        <v>Low</v>
      </c>
    </row>
    <row r="284" spans="1:16" x14ac:dyDescent="0.25">
      <c r="A284" s="2">
        <v>45474</v>
      </c>
      <c r="B284" s="2" t="str">
        <f>TEXT(Table134[[#This Row],[Date]],"MMM")</f>
        <v>Jul</v>
      </c>
      <c r="C284">
        <v>72</v>
      </c>
      <c r="D284">
        <v>21</v>
      </c>
      <c r="E284" s="3">
        <v>604.57000000000005</v>
      </c>
      <c r="F284">
        <v>2</v>
      </c>
      <c r="G284" s="6">
        <v>327.82</v>
      </c>
      <c r="H284" t="s">
        <v>21</v>
      </c>
      <c r="I284" t="s">
        <v>43</v>
      </c>
      <c r="J284" t="str">
        <f>Table134[[#This Row],[First Name]]&amp;" "&amp;Table134[[#This Row],[Last Name]]</f>
        <v>Paul Williams</v>
      </c>
      <c r="K284" t="s">
        <v>46</v>
      </c>
      <c r="L284" s="5">
        <f>Table134[[#This Row],[Calls Reached]]/Table134[[#This Row],[Total Calls]]</f>
        <v>0.29166666666666669</v>
      </c>
      <c r="M284" s="5">
        <f>Table134[[#This Row],[Deals Closed]]/Table134[[#This Row],[Calls Reached]]</f>
        <v>9.5238095238095233E-2</v>
      </c>
      <c r="N284" s="6">
        <f>IFERROR(Table134[[#This Row],[Deal Value ($)]]/Table134[[#This Row],[Deals Closed]],0)</f>
        <v>163.91</v>
      </c>
      <c r="O284" s="6">
        <f>Table134[[#This Row],[Deal Value ($)]]/Table134[[#This Row],[Total Calls]]</f>
        <v>4.5530555555555559</v>
      </c>
      <c r="P284" t="str">
        <f>IF(Table134[[#This Row],[Conversion Rate]]&gt;=20%,"High","Low")</f>
        <v>Low</v>
      </c>
    </row>
    <row r="285" spans="1:16" x14ac:dyDescent="0.25">
      <c r="A285" s="2">
        <v>45474</v>
      </c>
      <c r="B285" s="2" t="str">
        <f>TEXT(Table134[[#This Row],[Date]],"MMM")</f>
        <v>Jul</v>
      </c>
      <c r="C285">
        <v>32</v>
      </c>
      <c r="D285">
        <v>6</v>
      </c>
      <c r="E285" s="3">
        <v>553.58000000000004</v>
      </c>
      <c r="F285">
        <v>3</v>
      </c>
      <c r="G285" s="6">
        <v>3939.56</v>
      </c>
      <c r="H285" t="s">
        <v>20</v>
      </c>
      <c r="I285" t="s">
        <v>44</v>
      </c>
      <c r="J285" t="str">
        <f>Table134[[#This Row],[First Name]]&amp;" "&amp;Table134[[#This Row],[Last Name]]</f>
        <v>Richard Brown</v>
      </c>
      <c r="K285" t="s">
        <v>46</v>
      </c>
      <c r="L285" s="5">
        <f>Table134[[#This Row],[Calls Reached]]/Table134[[#This Row],[Total Calls]]</f>
        <v>0.1875</v>
      </c>
      <c r="M285" s="5">
        <f>Table134[[#This Row],[Deals Closed]]/Table134[[#This Row],[Calls Reached]]</f>
        <v>0.5</v>
      </c>
      <c r="N285" s="6">
        <f>IFERROR(Table134[[#This Row],[Deal Value ($)]]/Table134[[#This Row],[Deals Closed]],0)</f>
        <v>1313.1866666666667</v>
      </c>
      <c r="O285" s="6">
        <f>Table134[[#This Row],[Deal Value ($)]]/Table134[[#This Row],[Total Calls]]</f>
        <v>123.11125</v>
      </c>
      <c r="P285" t="str">
        <f>IF(Table134[[#This Row],[Conversion Rate]]&gt;=20%,"High","Low")</f>
        <v>High</v>
      </c>
    </row>
    <row r="286" spans="1:16" x14ac:dyDescent="0.25">
      <c r="A286" s="2">
        <v>45474</v>
      </c>
      <c r="B286" s="2" t="str">
        <f>TEXT(Table134[[#This Row],[Date]],"MMM")</f>
        <v>Jul</v>
      </c>
      <c r="C286">
        <v>17</v>
      </c>
      <c r="D286">
        <v>8</v>
      </c>
      <c r="E286" s="3">
        <v>208.21</v>
      </c>
      <c r="F286">
        <v>4</v>
      </c>
      <c r="G286" s="6">
        <v>828.73</v>
      </c>
      <c r="H286" t="s">
        <v>19</v>
      </c>
      <c r="I286" t="s">
        <v>39</v>
      </c>
      <c r="J286" t="str">
        <f>Table134[[#This Row],[First Name]]&amp;" "&amp;Table134[[#This Row],[Last Name]]</f>
        <v>James Jones</v>
      </c>
      <c r="K286" t="s">
        <v>45</v>
      </c>
      <c r="L286" s="5">
        <f>Table134[[#This Row],[Calls Reached]]/Table134[[#This Row],[Total Calls]]</f>
        <v>0.47058823529411764</v>
      </c>
      <c r="M286" s="5">
        <f>Table134[[#This Row],[Deals Closed]]/Table134[[#This Row],[Calls Reached]]</f>
        <v>0.5</v>
      </c>
      <c r="N286" s="6">
        <f>IFERROR(Table134[[#This Row],[Deal Value ($)]]/Table134[[#This Row],[Deals Closed]],0)</f>
        <v>207.1825</v>
      </c>
      <c r="O286" s="6">
        <f>Table134[[#This Row],[Deal Value ($)]]/Table134[[#This Row],[Total Calls]]</f>
        <v>48.748823529411766</v>
      </c>
      <c r="P286" t="str">
        <f>IF(Table134[[#This Row],[Conversion Rate]]&gt;=20%,"High","Low")</f>
        <v>High</v>
      </c>
    </row>
    <row r="287" spans="1:16" x14ac:dyDescent="0.25">
      <c r="A287" s="2">
        <v>45474</v>
      </c>
      <c r="B287" s="2" t="str">
        <f>TEXT(Table134[[#This Row],[Date]],"MMM")</f>
        <v>Jul</v>
      </c>
      <c r="C287">
        <v>50</v>
      </c>
      <c r="D287">
        <v>9</v>
      </c>
      <c r="E287" s="3">
        <v>246.06</v>
      </c>
      <c r="F287">
        <v>5</v>
      </c>
      <c r="G287" s="6">
        <v>4227.22</v>
      </c>
      <c r="H287" t="s">
        <v>16</v>
      </c>
      <c r="I287" t="s">
        <v>42</v>
      </c>
      <c r="J287" t="str">
        <f>Table134[[#This Row],[First Name]]&amp;" "&amp;Table134[[#This Row],[Last Name]]</f>
        <v>Charlie Martinez</v>
      </c>
      <c r="K287" t="s">
        <v>45</v>
      </c>
      <c r="L287" s="5">
        <f>Table134[[#This Row],[Calls Reached]]/Table134[[#This Row],[Total Calls]]</f>
        <v>0.18</v>
      </c>
      <c r="M287" s="5">
        <f>Table134[[#This Row],[Deals Closed]]/Table134[[#This Row],[Calls Reached]]</f>
        <v>0.55555555555555558</v>
      </c>
      <c r="N287" s="6">
        <f>IFERROR(Table134[[#This Row],[Deal Value ($)]]/Table134[[#This Row],[Deals Closed]],0)</f>
        <v>845.44400000000007</v>
      </c>
      <c r="O287" s="6">
        <f>Table134[[#This Row],[Deal Value ($)]]/Table134[[#This Row],[Total Calls]]</f>
        <v>84.54440000000001</v>
      </c>
      <c r="P287" t="str">
        <f>IF(Table134[[#This Row],[Conversion Rate]]&gt;=20%,"High","Low")</f>
        <v>High</v>
      </c>
    </row>
    <row r="288" spans="1:16" x14ac:dyDescent="0.25">
      <c r="A288" s="2">
        <v>45474</v>
      </c>
      <c r="B288" s="2" t="str">
        <f>TEXT(Table134[[#This Row],[Date]],"MMM")</f>
        <v>Jul</v>
      </c>
      <c r="C288">
        <v>31</v>
      </c>
      <c r="D288">
        <v>15</v>
      </c>
      <c r="E288" s="3">
        <v>347.38</v>
      </c>
      <c r="F288">
        <v>10</v>
      </c>
      <c r="G288" s="6">
        <v>1101.06</v>
      </c>
      <c r="H288" t="s">
        <v>17</v>
      </c>
      <c r="I288" t="s">
        <v>41</v>
      </c>
      <c r="J288" t="str">
        <f>Table134[[#This Row],[First Name]]&amp;" "&amp;Table134[[#This Row],[Last Name]]</f>
        <v>Molly Miller</v>
      </c>
      <c r="K288" t="s">
        <v>45</v>
      </c>
      <c r="L288" s="5">
        <f>Table134[[#This Row],[Calls Reached]]/Table134[[#This Row],[Total Calls]]</f>
        <v>0.4838709677419355</v>
      </c>
      <c r="M288" s="5">
        <f>Table134[[#This Row],[Deals Closed]]/Table134[[#This Row],[Calls Reached]]</f>
        <v>0.66666666666666663</v>
      </c>
      <c r="N288" s="6">
        <f>IFERROR(Table134[[#This Row],[Deal Value ($)]]/Table134[[#This Row],[Deals Closed]],0)</f>
        <v>110.10599999999999</v>
      </c>
      <c r="O288" s="6">
        <f>Table134[[#This Row],[Deal Value ($)]]/Table134[[#This Row],[Total Calls]]</f>
        <v>35.51806451612903</v>
      </c>
      <c r="P288" t="str">
        <f>IF(Table134[[#This Row],[Conversion Rate]]&gt;=20%,"High","Low")</f>
        <v>High</v>
      </c>
    </row>
    <row r="289" spans="1:16" x14ac:dyDescent="0.25">
      <c r="A289" s="2">
        <v>45474</v>
      </c>
      <c r="B289" s="2" t="str">
        <f>TEXT(Table134[[#This Row],[Date]],"MMM")</f>
        <v>Jul</v>
      </c>
      <c r="C289">
        <v>77</v>
      </c>
      <c r="D289">
        <v>15</v>
      </c>
      <c r="E289" s="3">
        <v>282.58999999999997</v>
      </c>
      <c r="F289">
        <v>2</v>
      </c>
      <c r="G289" s="6">
        <v>2296.14</v>
      </c>
      <c r="H289" t="s">
        <v>15</v>
      </c>
      <c r="I289" t="s">
        <v>44</v>
      </c>
      <c r="J289" t="str">
        <f>Table134[[#This Row],[First Name]]&amp;" "&amp;Table134[[#This Row],[Last Name]]</f>
        <v>Rick Brown</v>
      </c>
      <c r="K289" t="s">
        <v>45</v>
      </c>
      <c r="L289" s="5">
        <f>Table134[[#This Row],[Calls Reached]]/Table134[[#This Row],[Total Calls]]</f>
        <v>0.19480519480519481</v>
      </c>
      <c r="M289" s="5">
        <f>Table134[[#This Row],[Deals Closed]]/Table134[[#This Row],[Calls Reached]]</f>
        <v>0.13333333333333333</v>
      </c>
      <c r="N289" s="6">
        <f>IFERROR(Table134[[#This Row],[Deal Value ($)]]/Table134[[#This Row],[Deals Closed]],0)</f>
        <v>1148.07</v>
      </c>
      <c r="O289" s="6">
        <f>Table134[[#This Row],[Deal Value ($)]]/Table134[[#This Row],[Total Calls]]</f>
        <v>29.819999999999997</v>
      </c>
      <c r="P289" t="str">
        <f>IF(Table134[[#This Row],[Conversion Rate]]&gt;=20%,"High","Low")</f>
        <v>Low</v>
      </c>
    </row>
    <row r="290" spans="1:16" x14ac:dyDescent="0.25">
      <c r="A290" s="2">
        <v>45474</v>
      </c>
      <c r="B290" s="2" t="str">
        <f>TEXT(Table134[[#This Row],[Date]],"MMM")</f>
        <v>Jul</v>
      </c>
      <c r="C290">
        <v>70</v>
      </c>
      <c r="D290">
        <v>5</v>
      </c>
      <c r="E290" s="3">
        <v>491.31</v>
      </c>
      <c r="F290">
        <v>3</v>
      </c>
      <c r="G290" s="6">
        <v>3289.06</v>
      </c>
      <c r="H290" t="s">
        <v>14</v>
      </c>
      <c r="I290" t="s">
        <v>42</v>
      </c>
      <c r="J290" t="str">
        <f>Table134[[#This Row],[First Name]]&amp;" "&amp;Table134[[#This Row],[Last Name]]</f>
        <v>Bob Martinez</v>
      </c>
      <c r="K290" t="s">
        <v>45</v>
      </c>
      <c r="L290" s="5">
        <f>Table134[[#This Row],[Calls Reached]]/Table134[[#This Row],[Total Calls]]</f>
        <v>7.1428571428571425E-2</v>
      </c>
      <c r="M290" s="5">
        <f>Table134[[#This Row],[Deals Closed]]/Table134[[#This Row],[Calls Reached]]</f>
        <v>0.6</v>
      </c>
      <c r="N290" s="6">
        <f>IFERROR(Table134[[#This Row],[Deal Value ($)]]/Table134[[#This Row],[Deals Closed]],0)</f>
        <v>1096.3533333333332</v>
      </c>
      <c r="O290" s="6">
        <f>Table134[[#This Row],[Deal Value ($)]]/Table134[[#This Row],[Total Calls]]</f>
        <v>46.98657142857143</v>
      </c>
      <c r="P290" t="str">
        <f>IF(Table134[[#This Row],[Conversion Rate]]&gt;=20%,"High","Low")</f>
        <v>High</v>
      </c>
    </row>
    <row r="291" spans="1:16" x14ac:dyDescent="0.25">
      <c r="A291" s="2">
        <v>45474</v>
      </c>
      <c r="B291" s="2" t="str">
        <f>TEXT(Table134[[#This Row],[Date]],"MMM")</f>
        <v>Jul</v>
      </c>
      <c r="C291">
        <v>77</v>
      </c>
      <c r="D291">
        <v>16</v>
      </c>
      <c r="E291" s="3">
        <v>335.59</v>
      </c>
      <c r="F291">
        <v>7</v>
      </c>
      <c r="G291" s="6">
        <v>1087.4100000000001</v>
      </c>
      <c r="H291" t="s">
        <v>18</v>
      </c>
      <c r="I291" t="s">
        <v>40</v>
      </c>
      <c r="J291" t="str">
        <f>Table134[[#This Row],[First Name]]&amp;" "&amp;Table134[[#This Row],[Last Name]]</f>
        <v>Chris Davis</v>
      </c>
      <c r="K291" t="s">
        <v>45</v>
      </c>
      <c r="L291" s="5">
        <f>Table134[[#This Row],[Calls Reached]]/Table134[[#This Row],[Total Calls]]</f>
        <v>0.20779220779220781</v>
      </c>
      <c r="M291" s="5">
        <f>Table134[[#This Row],[Deals Closed]]/Table134[[#This Row],[Calls Reached]]</f>
        <v>0.4375</v>
      </c>
      <c r="N291" s="6">
        <f>IFERROR(Table134[[#This Row],[Deal Value ($)]]/Table134[[#This Row],[Deals Closed]],0)</f>
        <v>155.34428571428572</v>
      </c>
      <c r="O291" s="6">
        <f>Table134[[#This Row],[Deal Value ($)]]/Table134[[#This Row],[Total Calls]]</f>
        <v>14.122207792207794</v>
      </c>
      <c r="P291" t="str">
        <f>IF(Table134[[#This Row],[Conversion Rate]]&gt;=20%,"High","Low")</f>
        <v>High</v>
      </c>
    </row>
    <row r="292" spans="1:16" x14ac:dyDescent="0.25">
      <c r="A292" s="2">
        <v>45474</v>
      </c>
      <c r="B292" s="2" t="str">
        <f>TEXT(Table134[[#This Row],[Date]],"MMM")</f>
        <v>Jul</v>
      </c>
      <c r="C292">
        <v>71</v>
      </c>
      <c r="D292">
        <v>9</v>
      </c>
      <c r="E292" s="3">
        <v>220.4</v>
      </c>
      <c r="F292">
        <v>2</v>
      </c>
      <c r="G292" s="6">
        <v>692.29</v>
      </c>
      <c r="H292" t="s">
        <v>23</v>
      </c>
      <c r="I292" t="s">
        <v>35</v>
      </c>
      <c r="J292" t="str">
        <f>Table134[[#This Row],[First Name]]&amp;" "&amp;Table134[[#This Row],[Last Name]]</f>
        <v>Melissa Garcia</v>
      </c>
      <c r="K292" t="s">
        <v>45</v>
      </c>
      <c r="L292" s="5">
        <f>Table134[[#This Row],[Calls Reached]]/Table134[[#This Row],[Total Calls]]</f>
        <v>0.12676056338028169</v>
      </c>
      <c r="M292" s="5">
        <f>Table134[[#This Row],[Deals Closed]]/Table134[[#This Row],[Calls Reached]]</f>
        <v>0.22222222222222221</v>
      </c>
      <c r="N292" s="6">
        <f>IFERROR(Table134[[#This Row],[Deal Value ($)]]/Table134[[#This Row],[Deals Closed]],0)</f>
        <v>346.14499999999998</v>
      </c>
      <c r="O292" s="6">
        <f>Table134[[#This Row],[Deal Value ($)]]/Table134[[#This Row],[Total Calls]]</f>
        <v>9.7505633802816902</v>
      </c>
      <c r="P292" t="str">
        <f>IF(Table134[[#This Row],[Conversion Rate]]&gt;=20%,"High","Low")</f>
        <v>High</v>
      </c>
    </row>
    <row r="293" spans="1:16" x14ac:dyDescent="0.25">
      <c r="A293" s="2">
        <v>45474</v>
      </c>
      <c r="B293" s="2" t="str">
        <f>TEXT(Table134[[#This Row],[Date]],"MMM")</f>
        <v>Jul</v>
      </c>
      <c r="C293">
        <v>24</v>
      </c>
      <c r="D293">
        <v>13</v>
      </c>
      <c r="E293" s="3">
        <v>471.72</v>
      </c>
      <c r="F293">
        <v>7</v>
      </c>
      <c r="G293" s="6">
        <v>3588.89</v>
      </c>
      <c r="H293" t="s">
        <v>26</v>
      </c>
      <c r="I293" t="s">
        <v>38</v>
      </c>
      <c r="J293" t="str">
        <f>Table134[[#This Row],[First Name]]&amp;" "&amp;Table134[[#This Row],[Last Name]]</f>
        <v>Darren Rodriguez</v>
      </c>
      <c r="K293" t="s">
        <v>45</v>
      </c>
      <c r="L293" s="5">
        <f>Table134[[#This Row],[Calls Reached]]/Table134[[#This Row],[Total Calls]]</f>
        <v>0.54166666666666663</v>
      </c>
      <c r="M293" s="5">
        <f>Table134[[#This Row],[Deals Closed]]/Table134[[#This Row],[Calls Reached]]</f>
        <v>0.53846153846153844</v>
      </c>
      <c r="N293" s="6">
        <f>IFERROR(Table134[[#This Row],[Deal Value ($)]]/Table134[[#This Row],[Deals Closed]],0)</f>
        <v>512.69857142857143</v>
      </c>
      <c r="O293" s="6">
        <f>Table134[[#This Row],[Deal Value ($)]]/Table134[[#This Row],[Total Calls]]</f>
        <v>149.53708333333333</v>
      </c>
      <c r="P293" t="str">
        <f>IF(Table134[[#This Row],[Conversion Rate]]&gt;=20%,"High","Low")</f>
        <v>High</v>
      </c>
    </row>
    <row r="294" spans="1:16" x14ac:dyDescent="0.25">
      <c r="A294" s="2">
        <v>45474</v>
      </c>
      <c r="B294" s="2" t="str">
        <f>TEXT(Table134[[#This Row],[Date]],"MMM")</f>
        <v>Jul</v>
      </c>
      <c r="C294">
        <v>71</v>
      </c>
      <c r="D294">
        <v>7</v>
      </c>
      <c r="E294" s="3">
        <v>78.53</v>
      </c>
      <c r="F294">
        <v>4</v>
      </c>
      <c r="G294" s="6">
        <v>3652.64</v>
      </c>
      <c r="H294" t="s">
        <v>25</v>
      </c>
      <c r="I294" t="s">
        <v>43</v>
      </c>
      <c r="J294" t="str">
        <f>Table134[[#This Row],[First Name]]&amp;" "&amp;Table134[[#This Row],[Last Name]]</f>
        <v>Karol Williams</v>
      </c>
      <c r="K294" t="s">
        <v>46</v>
      </c>
      <c r="L294" s="5">
        <f>Table134[[#This Row],[Calls Reached]]/Table134[[#This Row],[Total Calls]]</f>
        <v>9.8591549295774641E-2</v>
      </c>
      <c r="M294" s="5">
        <f>Table134[[#This Row],[Deals Closed]]/Table134[[#This Row],[Calls Reached]]</f>
        <v>0.5714285714285714</v>
      </c>
      <c r="N294" s="6">
        <f>IFERROR(Table134[[#This Row],[Deal Value ($)]]/Table134[[#This Row],[Deals Closed]],0)</f>
        <v>913.16</v>
      </c>
      <c r="O294" s="6">
        <f>Table134[[#This Row],[Deal Value ($)]]/Table134[[#This Row],[Total Calls]]</f>
        <v>51.4456338028169</v>
      </c>
      <c r="P294" t="str">
        <f>IF(Table134[[#This Row],[Conversion Rate]]&gt;=20%,"High","Low")</f>
        <v>High</v>
      </c>
    </row>
    <row r="295" spans="1:16" x14ac:dyDescent="0.25">
      <c r="A295" s="2">
        <v>45474</v>
      </c>
      <c r="B295" s="2" t="str">
        <f>TEXT(Table134[[#This Row],[Date]],"MMM")</f>
        <v>Jul</v>
      </c>
      <c r="C295">
        <v>71</v>
      </c>
      <c r="D295">
        <v>12</v>
      </c>
      <c r="E295" s="3">
        <v>487.04</v>
      </c>
      <c r="F295">
        <v>5</v>
      </c>
      <c r="G295" s="6">
        <v>1004.9</v>
      </c>
      <c r="H295" t="s">
        <v>13</v>
      </c>
      <c r="I295" t="s">
        <v>42</v>
      </c>
      <c r="J295" t="str">
        <f>Table134[[#This Row],[First Name]]&amp;" "&amp;Table134[[#This Row],[Last Name]]</f>
        <v>Liam Martinez</v>
      </c>
      <c r="K295" t="s">
        <v>45</v>
      </c>
      <c r="L295" s="5">
        <f>Table134[[#This Row],[Calls Reached]]/Table134[[#This Row],[Total Calls]]</f>
        <v>0.16901408450704225</v>
      </c>
      <c r="M295" s="5">
        <f>Table134[[#This Row],[Deals Closed]]/Table134[[#This Row],[Calls Reached]]</f>
        <v>0.41666666666666669</v>
      </c>
      <c r="N295" s="6">
        <f>IFERROR(Table134[[#This Row],[Deal Value ($)]]/Table134[[#This Row],[Deals Closed]],0)</f>
        <v>200.98</v>
      </c>
      <c r="O295" s="6">
        <f>Table134[[#This Row],[Deal Value ($)]]/Table134[[#This Row],[Total Calls]]</f>
        <v>14.153521126760563</v>
      </c>
      <c r="P295" t="str">
        <f>IF(Table134[[#This Row],[Conversion Rate]]&gt;=20%,"High","Low")</f>
        <v>High</v>
      </c>
    </row>
    <row r="296" spans="1:16" x14ac:dyDescent="0.25">
      <c r="A296" s="2">
        <v>45474</v>
      </c>
      <c r="B296" s="2" t="str">
        <f>TEXT(Table134[[#This Row],[Date]],"MMM")</f>
        <v>Jul</v>
      </c>
      <c r="C296">
        <v>75</v>
      </c>
      <c r="D296">
        <v>17</v>
      </c>
      <c r="E296" s="3">
        <v>176.07</v>
      </c>
      <c r="F296">
        <v>5</v>
      </c>
      <c r="G296" s="6">
        <v>458.18</v>
      </c>
      <c r="H296" t="s">
        <v>27</v>
      </c>
      <c r="I296" t="s">
        <v>40</v>
      </c>
      <c r="J296" t="str">
        <f>Table134[[#This Row],[First Name]]&amp;" "&amp;Table134[[#This Row],[Last Name]]</f>
        <v>Will Davis</v>
      </c>
      <c r="K296" t="s">
        <v>45</v>
      </c>
      <c r="L296" s="5">
        <f>Table134[[#This Row],[Calls Reached]]/Table134[[#This Row],[Total Calls]]</f>
        <v>0.22666666666666666</v>
      </c>
      <c r="M296" s="5">
        <f>Table134[[#This Row],[Deals Closed]]/Table134[[#This Row],[Calls Reached]]</f>
        <v>0.29411764705882354</v>
      </c>
      <c r="N296" s="6">
        <f>IFERROR(Table134[[#This Row],[Deal Value ($)]]/Table134[[#This Row],[Deals Closed]],0)</f>
        <v>91.635999999999996</v>
      </c>
      <c r="O296" s="6">
        <f>Table134[[#This Row],[Deal Value ($)]]/Table134[[#This Row],[Total Calls]]</f>
        <v>6.1090666666666671</v>
      </c>
      <c r="P296" t="str">
        <f>IF(Table134[[#This Row],[Conversion Rate]]&gt;=20%,"High","Low")</f>
        <v>High</v>
      </c>
    </row>
    <row r="297" spans="1:16" x14ac:dyDescent="0.25">
      <c r="A297" s="2">
        <v>45474</v>
      </c>
      <c r="B297" s="2" t="str">
        <f>TEXT(Table134[[#This Row],[Date]],"MMM")</f>
        <v>Jul</v>
      </c>
      <c r="C297">
        <v>76</v>
      </c>
      <c r="D297">
        <v>11</v>
      </c>
      <c r="E297" s="3">
        <v>486.93</v>
      </c>
      <c r="F297">
        <v>0</v>
      </c>
      <c r="G297" s="6">
        <v>1219.29</v>
      </c>
      <c r="H297" t="s">
        <v>28</v>
      </c>
      <c r="I297" t="s">
        <v>40</v>
      </c>
      <c r="J297" t="str">
        <f>Table134[[#This Row],[First Name]]&amp;" "&amp;Table134[[#This Row],[Last Name]]</f>
        <v>Vicky Davis</v>
      </c>
      <c r="K297" t="s">
        <v>46</v>
      </c>
      <c r="L297" s="5">
        <f>Table134[[#This Row],[Calls Reached]]/Table134[[#This Row],[Total Calls]]</f>
        <v>0.14473684210526316</v>
      </c>
      <c r="M297" s="5">
        <f>Table134[[#This Row],[Deals Closed]]/Table134[[#This Row],[Calls Reached]]</f>
        <v>0</v>
      </c>
      <c r="N297" s="6">
        <f>IFERROR(Table134[[#This Row],[Deal Value ($)]]/Table134[[#This Row],[Deals Closed]],0)</f>
        <v>0</v>
      </c>
      <c r="O297" s="6">
        <f>Table134[[#This Row],[Deal Value ($)]]/Table134[[#This Row],[Total Calls]]</f>
        <v>16.043289473684212</v>
      </c>
      <c r="P297" t="str">
        <f>IF(Table134[[#This Row],[Conversion Rate]]&gt;=20%,"High","Low")</f>
        <v>Low</v>
      </c>
    </row>
    <row r="298" spans="1:16" x14ac:dyDescent="0.25">
      <c r="A298" s="2">
        <v>45474</v>
      </c>
      <c r="B298" s="2" t="str">
        <f>TEXT(Table134[[#This Row],[Date]],"MMM")</f>
        <v>Jul</v>
      </c>
      <c r="C298">
        <v>20</v>
      </c>
      <c r="D298">
        <v>14</v>
      </c>
      <c r="E298" s="3">
        <v>283.66000000000003</v>
      </c>
      <c r="F298">
        <v>2</v>
      </c>
      <c r="G298" s="6">
        <v>1494.14</v>
      </c>
      <c r="H298" t="s">
        <v>29</v>
      </c>
      <c r="I298" t="s">
        <v>40</v>
      </c>
      <c r="J298" t="str">
        <f>Table134[[#This Row],[First Name]]&amp;" "&amp;Table134[[#This Row],[Last Name]]</f>
        <v>Grace Davis</v>
      </c>
      <c r="K298" t="s">
        <v>45</v>
      </c>
      <c r="L298" s="5">
        <f>Table134[[#This Row],[Calls Reached]]/Table134[[#This Row],[Total Calls]]</f>
        <v>0.7</v>
      </c>
      <c r="M298" s="5">
        <f>Table134[[#This Row],[Deals Closed]]/Table134[[#This Row],[Calls Reached]]</f>
        <v>0.14285714285714285</v>
      </c>
      <c r="N298" s="6">
        <f>IFERROR(Table134[[#This Row],[Deal Value ($)]]/Table134[[#This Row],[Deals Closed]],0)</f>
        <v>747.07</v>
      </c>
      <c r="O298" s="6">
        <f>Table134[[#This Row],[Deal Value ($)]]/Table134[[#This Row],[Total Calls]]</f>
        <v>74.707000000000008</v>
      </c>
      <c r="P298" t="str">
        <f>IF(Table134[[#This Row],[Conversion Rate]]&gt;=20%,"High","Low")</f>
        <v>Low</v>
      </c>
    </row>
    <row r="299" spans="1:16" x14ac:dyDescent="0.25">
      <c r="A299" s="2">
        <v>45474</v>
      </c>
      <c r="B299" s="2" t="str">
        <f>TEXT(Table134[[#This Row],[Date]],"MMM")</f>
        <v>Jul</v>
      </c>
      <c r="C299">
        <v>79</v>
      </c>
      <c r="D299">
        <v>6</v>
      </c>
      <c r="E299" s="3">
        <v>536.04999999999995</v>
      </c>
      <c r="F299">
        <v>1</v>
      </c>
      <c r="G299" s="6">
        <v>3682.29</v>
      </c>
      <c r="H299" t="s">
        <v>30</v>
      </c>
      <c r="I299" t="s">
        <v>39</v>
      </c>
      <c r="J299" t="str">
        <f>Table134[[#This Row],[First Name]]&amp;" "&amp;Table134[[#This Row],[Last Name]]</f>
        <v>Emma Jones</v>
      </c>
      <c r="K299" t="s">
        <v>46</v>
      </c>
      <c r="L299" s="5">
        <f>Table134[[#This Row],[Calls Reached]]/Table134[[#This Row],[Total Calls]]</f>
        <v>7.5949367088607597E-2</v>
      </c>
      <c r="M299" s="5">
        <f>Table134[[#This Row],[Deals Closed]]/Table134[[#This Row],[Calls Reached]]</f>
        <v>0.16666666666666666</v>
      </c>
      <c r="N299" s="6">
        <f>IFERROR(Table134[[#This Row],[Deal Value ($)]]/Table134[[#This Row],[Deals Closed]],0)</f>
        <v>3682.29</v>
      </c>
      <c r="O299" s="6">
        <f>Table134[[#This Row],[Deal Value ($)]]/Table134[[#This Row],[Total Calls]]</f>
        <v>46.611265822784809</v>
      </c>
      <c r="P299" t="str">
        <f>IF(Table134[[#This Row],[Conversion Rate]]&gt;=20%,"High","Low")</f>
        <v>Low</v>
      </c>
    </row>
    <row r="300" spans="1:16" x14ac:dyDescent="0.25">
      <c r="A300" s="2">
        <v>45474</v>
      </c>
      <c r="B300" s="2" t="str">
        <f>TEXT(Table134[[#This Row],[Date]],"MMM")</f>
        <v>Jul</v>
      </c>
      <c r="C300">
        <v>82</v>
      </c>
      <c r="D300">
        <v>9</v>
      </c>
      <c r="E300" s="3">
        <v>171.86</v>
      </c>
      <c r="F300">
        <v>7</v>
      </c>
      <c r="G300" s="6">
        <v>506.88</v>
      </c>
      <c r="H300" t="s">
        <v>31</v>
      </c>
      <c r="I300" t="s">
        <v>35</v>
      </c>
      <c r="J300" t="str">
        <f>Table134[[#This Row],[First Name]]&amp;" "&amp;Table134[[#This Row],[Last Name]]</f>
        <v>Josh Garcia</v>
      </c>
      <c r="K300" t="s">
        <v>45</v>
      </c>
      <c r="L300" s="5">
        <f>Table134[[#This Row],[Calls Reached]]/Table134[[#This Row],[Total Calls]]</f>
        <v>0.10975609756097561</v>
      </c>
      <c r="M300" s="5">
        <f>Table134[[#This Row],[Deals Closed]]/Table134[[#This Row],[Calls Reached]]</f>
        <v>0.77777777777777779</v>
      </c>
      <c r="N300" s="6">
        <f>IFERROR(Table134[[#This Row],[Deal Value ($)]]/Table134[[#This Row],[Deals Closed]],0)</f>
        <v>72.411428571428573</v>
      </c>
      <c r="O300" s="6">
        <f>Table134[[#This Row],[Deal Value ($)]]/Table134[[#This Row],[Total Calls]]</f>
        <v>6.1814634146341465</v>
      </c>
      <c r="P300" t="str">
        <f>IF(Table134[[#This Row],[Conversion Rate]]&gt;=20%,"High","Low")</f>
        <v>High</v>
      </c>
    </row>
    <row r="301" spans="1:16" x14ac:dyDescent="0.25">
      <c r="A301" s="2">
        <v>45474</v>
      </c>
      <c r="B301" s="2" t="str">
        <f>TEXT(Table134[[#This Row],[Date]],"MMM")</f>
        <v>Jul</v>
      </c>
      <c r="C301">
        <v>103</v>
      </c>
      <c r="D301">
        <v>15</v>
      </c>
      <c r="E301" s="3">
        <v>359.16</v>
      </c>
      <c r="F301">
        <v>1</v>
      </c>
      <c r="G301" s="6">
        <v>2949.94</v>
      </c>
      <c r="H301" t="s">
        <v>32</v>
      </c>
      <c r="I301" t="s">
        <v>40</v>
      </c>
      <c r="J301" t="str">
        <f>Table134[[#This Row],[First Name]]&amp;" "&amp;Table134[[#This Row],[Last Name]]</f>
        <v>Craig Davis</v>
      </c>
      <c r="K301" t="s">
        <v>45</v>
      </c>
      <c r="L301" s="5">
        <f>Table134[[#This Row],[Calls Reached]]/Table134[[#This Row],[Total Calls]]</f>
        <v>0.14563106796116504</v>
      </c>
      <c r="M301" s="5">
        <f>Table134[[#This Row],[Deals Closed]]/Table134[[#This Row],[Calls Reached]]</f>
        <v>6.6666666666666666E-2</v>
      </c>
      <c r="N301" s="6">
        <f>IFERROR(Table134[[#This Row],[Deal Value ($)]]/Table134[[#This Row],[Deals Closed]],0)</f>
        <v>2949.94</v>
      </c>
      <c r="O301" s="6">
        <f>Table134[[#This Row],[Deal Value ($)]]/Table134[[#This Row],[Total Calls]]</f>
        <v>28.640194174757283</v>
      </c>
      <c r="P301" t="str">
        <f>IF(Table134[[#This Row],[Conversion Rate]]&gt;=20%,"High","Low")</f>
        <v>Low</v>
      </c>
    </row>
    <row r="302" spans="1:16" x14ac:dyDescent="0.25">
      <c r="A302" s="2">
        <v>45474</v>
      </c>
      <c r="B302" s="2" t="str">
        <f>TEXT(Table134[[#This Row],[Date]],"MMM")</f>
        <v>Jul</v>
      </c>
      <c r="C302">
        <v>41</v>
      </c>
      <c r="D302">
        <v>9</v>
      </c>
      <c r="E302" s="3">
        <v>569.97</v>
      </c>
      <c r="F302">
        <v>5</v>
      </c>
      <c r="G302" s="6">
        <v>259.86</v>
      </c>
      <c r="H302" t="s">
        <v>33</v>
      </c>
      <c r="I302" t="s">
        <v>38</v>
      </c>
      <c r="J302" t="str">
        <f>Table134[[#This Row],[First Name]]&amp;" "&amp;Table134[[#This Row],[Last Name]]</f>
        <v>David Rodriguez</v>
      </c>
      <c r="K302" t="s">
        <v>45</v>
      </c>
      <c r="L302" s="5">
        <f>Table134[[#This Row],[Calls Reached]]/Table134[[#This Row],[Total Calls]]</f>
        <v>0.21951219512195122</v>
      </c>
      <c r="M302" s="5">
        <f>Table134[[#This Row],[Deals Closed]]/Table134[[#This Row],[Calls Reached]]</f>
        <v>0.55555555555555558</v>
      </c>
      <c r="N302" s="6">
        <f>IFERROR(Table134[[#This Row],[Deal Value ($)]]/Table134[[#This Row],[Deals Closed]],0)</f>
        <v>51.972000000000001</v>
      </c>
      <c r="O302" s="6">
        <f>Table134[[#This Row],[Deal Value ($)]]/Table134[[#This Row],[Total Calls]]</f>
        <v>6.3380487804878056</v>
      </c>
      <c r="P302" t="str">
        <f>IF(Table134[[#This Row],[Conversion Rate]]&gt;=20%,"High","Low")</f>
        <v>High</v>
      </c>
    </row>
    <row r="303" spans="1:16" x14ac:dyDescent="0.25">
      <c r="A303" s="2">
        <v>45474</v>
      </c>
      <c r="B303" s="2" t="str">
        <f>TEXT(Table134[[#This Row],[Date]],"MMM")</f>
        <v>Jul</v>
      </c>
      <c r="C303">
        <v>38</v>
      </c>
      <c r="D303">
        <v>14</v>
      </c>
      <c r="E303" s="3">
        <v>359.22</v>
      </c>
      <c r="F303">
        <v>8</v>
      </c>
      <c r="G303" s="6">
        <v>3846.34</v>
      </c>
      <c r="H303" t="s">
        <v>34</v>
      </c>
      <c r="I303" t="s">
        <v>35</v>
      </c>
      <c r="J303" t="str">
        <f>Table134[[#This Row],[First Name]]&amp;" "&amp;Table134[[#This Row],[Last Name]]</f>
        <v>Mimi Garcia</v>
      </c>
      <c r="K303" t="s">
        <v>46</v>
      </c>
      <c r="L303" s="5">
        <f>Table134[[#This Row],[Calls Reached]]/Table134[[#This Row],[Total Calls]]</f>
        <v>0.36842105263157893</v>
      </c>
      <c r="M303" s="5">
        <f>Table134[[#This Row],[Deals Closed]]/Table134[[#This Row],[Calls Reached]]</f>
        <v>0.5714285714285714</v>
      </c>
      <c r="N303" s="6">
        <f>IFERROR(Table134[[#This Row],[Deal Value ($)]]/Table134[[#This Row],[Deals Closed]],0)</f>
        <v>480.79250000000002</v>
      </c>
      <c r="O303" s="6">
        <f>Table134[[#This Row],[Deal Value ($)]]/Table134[[#This Row],[Total Calls]]</f>
        <v>101.21947368421053</v>
      </c>
      <c r="P303" t="str">
        <f>IF(Table134[[#This Row],[Conversion Rate]]&gt;=20%,"High","Low")</f>
        <v>High</v>
      </c>
    </row>
    <row r="304" spans="1:16" x14ac:dyDescent="0.25">
      <c r="A304" s="2">
        <v>45474</v>
      </c>
      <c r="B304" s="2" t="str">
        <f>TEXT(Table134[[#This Row],[Date]],"MMM")</f>
        <v>Jul</v>
      </c>
      <c r="C304">
        <v>83</v>
      </c>
      <c r="D304">
        <v>5</v>
      </c>
      <c r="E304" s="3">
        <v>166.85</v>
      </c>
      <c r="F304">
        <v>4</v>
      </c>
      <c r="G304" s="6">
        <v>1364.24</v>
      </c>
      <c r="H304" t="s">
        <v>24</v>
      </c>
      <c r="I304" t="s">
        <v>44</v>
      </c>
      <c r="J304" t="str">
        <f>Table134[[#This Row],[First Name]]&amp;" "&amp;Table134[[#This Row],[Last Name]]</f>
        <v>Alex Brown</v>
      </c>
      <c r="K304" t="s">
        <v>46</v>
      </c>
      <c r="L304" s="5">
        <f>Table134[[#This Row],[Calls Reached]]/Table134[[#This Row],[Total Calls]]</f>
        <v>6.0240963855421686E-2</v>
      </c>
      <c r="M304" s="5">
        <f>Table134[[#This Row],[Deals Closed]]/Table134[[#This Row],[Calls Reached]]</f>
        <v>0.8</v>
      </c>
      <c r="N304" s="6">
        <f>IFERROR(Table134[[#This Row],[Deal Value ($)]]/Table134[[#This Row],[Deals Closed]],0)</f>
        <v>341.06</v>
      </c>
      <c r="O304" s="6">
        <f>Table134[[#This Row],[Deal Value ($)]]/Table134[[#This Row],[Total Calls]]</f>
        <v>16.436626506024098</v>
      </c>
      <c r="P304" t="str">
        <f>IF(Table134[[#This Row],[Conversion Rate]]&gt;=20%,"High","Low")</f>
        <v>High</v>
      </c>
    </row>
    <row r="305" spans="1:16" x14ac:dyDescent="0.25">
      <c r="A305" s="2">
        <v>45474</v>
      </c>
      <c r="B305" s="2" t="str">
        <f>TEXT(Table134[[#This Row],[Date]],"MMM")</f>
        <v>Jul</v>
      </c>
      <c r="C305">
        <v>18</v>
      </c>
      <c r="D305">
        <v>6</v>
      </c>
      <c r="E305" s="3">
        <v>76.27</v>
      </c>
      <c r="F305">
        <v>4</v>
      </c>
      <c r="G305" s="6">
        <v>1597.98</v>
      </c>
      <c r="H305" t="s">
        <v>12</v>
      </c>
      <c r="I305" t="s">
        <v>39</v>
      </c>
      <c r="J305" t="str">
        <f>Table134[[#This Row],[First Name]]&amp;" "&amp;Table134[[#This Row],[Last Name]]</f>
        <v>Jake Jones</v>
      </c>
      <c r="K305" t="s">
        <v>45</v>
      </c>
      <c r="L305" s="5">
        <f>Table134[[#This Row],[Calls Reached]]/Table134[[#This Row],[Total Calls]]</f>
        <v>0.33333333333333331</v>
      </c>
      <c r="M305" s="5">
        <f>Table134[[#This Row],[Deals Closed]]/Table134[[#This Row],[Calls Reached]]</f>
        <v>0.66666666666666663</v>
      </c>
      <c r="N305" s="6">
        <f>IFERROR(Table134[[#This Row],[Deal Value ($)]]/Table134[[#This Row],[Deals Closed]],0)</f>
        <v>399.495</v>
      </c>
      <c r="O305" s="6">
        <f>Table134[[#This Row],[Deal Value ($)]]/Table134[[#This Row],[Total Calls]]</f>
        <v>88.776666666666671</v>
      </c>
      <c r="P305" t="str">
        <f>IF(Table134[[#This Row],[Conversion Rate]]&gt;=20%,"High","Low")</f>
        <v>High</v>
      </c>
    </row>
    <row r="306" spans="1:16" x14ac:dyDescent="0.25">
      <c r="A306" s="2">
        <v>45474</v>
      </c>
      <c r="B306" s="2" t="str">
        <f>TEXT(Table134[[#This Row],[Date]],"MMM")</f>
        <v>Jul</v>
      </c>
      <c r="C306">
        <v>62</v>
      </c>
      <c r="D306">
        <v>13</v>
      </c>
      <c r="E306" s="3">
        <v>364.64</v>
      </c>
      <c r="F306">
        <v>4</v>
      </c>
      <c r="G306" s="6">
        <v>3704.33</v>
      </c>
      <c r="H306" t="s">
        <v>10</v>
      </c>
      <c r="I306" t="s">
        <v>40</v>
      </c>
      <c r="J306" t="str">
        <f>Table134[[#This Row],[First Name]]&amp;" "&amp;Table134[[#This Row],[Last Name]]</f>
        <v>Alice Davis</v>
      </c>
      <c r="K306" t="s">
        <v>46</v>
      </c>
      <c r="L306" s="5">
        <f>Table134[[#This Row],[Calls Reached]]/Table134[[#This Row],[Total Calls]]</f>
        <v>0.20967741935483872</v>
      </c>
      <c r="M306" s="5">
        <f>Table134[[#This Row],[Deals Closed]]/Table134[[#This Row],[Calls Reached]]</f>
        <v>0.30769230769230771</v>
      </c>
      <c r="N306" s="6">
        <f>IFERROR(Table134[[#This Row],[Deal Value ($)]]/Table134[[#This Row],[Deals Closed]],0)</f>
        <v>926.08249999999998</v>
      </c>
      <c r="O306" s="6">
        <f>Table134[[#This Row],[Deal Value ($)]]/Table134[[#This Row],[Total Calls]]</f>
        <v>59.747258064516124</v>
      </c>
      <c r="P306" t="str">
        <f>IF(Table134[[#This Row],[Conversion Rate]]&gt;=20%,"High","Low")</f>
        <v>High</v>
      </c>
    </row>
    <row r="307" spans="1:16" x14ac:dyDescent="0.25">
      <c r="A307" s="2">
        <v>45474</v>
      </c>
      <c r="B307" s="2" t="str">
        <f>TEXT(Table134[[#This Row],[Date]],"MMM")</f>
        <v>Jul</v>
      </c>
      <c r="C307">
        <v>71</v>
      </c>
      <c r="D307">
        <v>17</v>
      </c>
      <c r="E307" s="3">
        <v>360.1</v>
      </c>
      <c r="F307">
        <v>6</v>
      </c>
      <c r="G307" s="6">
        <v>4444.83</v>
      </c>
      <c r="H307" t="s">
        <v>9</v>
      </c>
      <c r="I307" t="s">
        <v>37</v>
      </c>
      <c r="J307" t="str">
        <f>Table134[[#This Row],[First Name]]&amp;" "&amp;Table134[[#This Row],[Last Name]]</f>
        <v>Evan Johnson</v>
      </c>
      <c r="K307" t="s">
        <v>46</v>
      </c>
      <c r="L307" s="5">
        <f>Table134[[#This Row],[Calls Reached]]/Table134[[#This Row],[Total Calls]]</f>
        <v>0.23943661971830985</v>
      </c>
      <c r="M307" s="5">
        <f>Table134[[#This Row],[Deals Closed]]/Table134[[#This Row],[Calls Reached]]</f>
        <v>0.35294117647058826</v>
      </c>
      <c r="N307" s="6">
        <f>IFERROR(Table134[[#This Row],[Deal Value ($)]]/Table134[[#This Row],[Deals Closed]],0)</f>
        <v>740.80499999999995</v>
      </c>
      <c r="O307" s="6">
        <f>Table134[[#This Row],[Deal Value ($)]]/Table134[[#This Row],[Total Calls]]</f>
        <v>62.603239436619717</v>
      </c>
      <c r="P307" t="str">
        <f>IF(Table134[[#This Row],[Conversion Rate]]&gt;=20%,"High","Low")</f>
        <v>High</v>
      </c>
    </row>
    <row r="308" spans="1:16" x14ac:dyDescent="0.25">
      <c r="A308" s="2">
        <v>45474</v>
      </c>
      <c r="B308" s="2" t="str">
        <f>TEXT(Table134[[#This Row],[Date]],"MMM")</f>
        <v>Jul</v>
      </c>
      <c r="C308">
        <v>53</v>
      </c>
      <c r="D308">
        <v>14</v>
      </c>
      <c r="E308" s="3">
        <v>367.56</v>
      </c>
      <c r="F308">
        <v>2</v>
      </c>
      <c r="G308" s="6">
        <v>3514.07</v>
      </c>
      <c r="H308" t="s">
        <v>11</v>
      </c>
      <c r="I308" t="s">
        <v>36</v>
      </c>
      <c r="J308" t="str">
        <f>Table134[[#This Row],[First Name]]&amp;" "&amp;Table134[[#This Row],[Last Name]]</f>
        <v>Diana Smith</v>
      </c>
      <c r="K308" t="s">
        <v>45</v>
      </c>
      <c r="L308" s="5">
        <f>Table134[[#This Row],[Calls Reached]]/Table134[[#This Row],[Total Calls]]</f>
        <v>0.26415094339622641</v>
      </c>
      <c r="M308" s="5">
        <f>Table134[[#This Row],[Deals Closed]]/Table134[[#This Row],[Calls Reached]]</f>
        <v>0.14285714285714285</v>
      </c>
      <c r="N308" s="6">
        <f>IFERROR(Table134[[#This Row],[Deal Value ($)]]/Table134[[#This Row],[Deals Closed]],0)</f>
        <v>1757.0350000000001</v>
      </c>
      <c r="O308" s="6">
        <f>Table134[[#This Row],[Deal Value ($)]]/Table134[[#This Row],[Total Calls]]</f>
        <v>66.303207547169819</v>
      </c>
      <c r="P308" t="str">
        <f>IF(Table134[[#This Row],[Conversion Rate]]&gt;=20%,"High","Low")</f>
        <v>Low</v>
      </c>
    </row>
    <row r="309" spans="1:16" x14ac:dyDescent="0.25">
      <c r="A309" s="2">
        <v>45475</v>
      </c>
      <c r="B309" s="2" t="str">
        <f>TEXT(Table134[[#This Row],[Date]],"MMM")</f>
        <v>Jul</v>
      </c>
      <c r="C309">
        <v>73</v>
      </c>
      <c r="D309">
        <v>24</v>
      </c>
      <c r="E309" s="3">
        <v>519.16435235556901</v>
      </c>
      <c r="F309">
        <v>16</v>
      </c>
      <c r="G309" s="6">
        <v>1467.231703658405</v>
      </c>
      <c r="H309" t="s">
        <v>12</v>
      </c>
      <c r="I309" t="s">
        <v>42</v>
      </c>
      <c r="J309" t="str">
        <f>Table134[[#This Row],[First Name]]&amp;" "&amp;Table134[[#This Row],[Last Name]]</f>
        <v>Jake Martinez</v>
      </c>
      <c r="K309" t="s">
        <v>45</v>
      </c>
      <c r="L309" s="5">
        <f>Table134[[#This Row],[Calls Reached]]/Table134[[#This Row],[Total Calls]]</f>
        <v>0.32876712328767121</v>
      </c>
      <c r="M309" s="5">
        <f>Table134[[#This Row],[Deals Closed]]/Table134[[#This Row],[Calls Reached]]</f>
        <v>0.66666666666666663</v>
      </c>
      <c r="N309" s="6">
        <f>IFERROR(Table134[[#This Row],[Deal Value ($)]]/Table134[[#This Row],[Deals Closed]],0)</f>
        <v>91.70198147865031</v>
      </c>
      <c r="O309" s="6">
        <f>Table134[[#This Row],[Deal Value ($)]]/Table134[[#This Row],[Total Calls]]</f>
        <v>20.09906443367678</v>
      </c>
      <c r="P309" t="str">
        <f>IF(Table134[[#This Row],[Conversion Rate]]&gt;=20%,"High","Low")</f>
        <v>High</v>
      </c>
    </row>
    <row r="310" spans="1:16" x14ac:dyDescent="0.25">
      <c r="A310" s="2">
        <v>45476</v>
      </c>
      <c r="B310" s="2" t="str">
        <f>TEXT(Table134[[#This Row],[Date]],"MMM")</f>
        <v>Jul</v>
      </c>
      <c r="C310">
        <v>86</v>
      </c>
      <c r="D310">
        <v>75</v>
      </c>
      <c r="E310" s="3">
        <v>334.34657989748513</v>
      </c>
      <c r="F310">
        <v>32</v>
      </c>
      <c r="G310" s="6">
        <v>640.32410777578104</v>
      </c>
      <c r="H310" t="s">
        <v>12</v>
      </c>
      <c r="I310" t="s">
        <v>38</v>
      </c>
      <c r="J310" t="str">
        <f>Table134[[#This Row],[First Name]]&amp;" "&amp;Table134[[#This Row],[Last Name]]</f>
        <v>Jake Rodriguez</v>
      </c>
      <c r="K310" t="s">
        <v>45</v>
      </c>
      <c r="L310" s="5">
        <f>Table134[[#This Row],[Calls Reached]]/Table134[[#This Row],[Total Calls]]</f>
        <v>0.87209302325581395</v>
      </c>
      <c r="M310" s="5">
        <f>Table134[[#This Row],[Deals Closed]]/Table134[[#This Row],[Calls Reached]]</f>
        <v>0.42666666666666669</v>
      </c>
      <c r="N310" s="6">
        <f>IFERROR(Table134[[#This Row],[Deal Value ($)]]/Table134[[#This Row],[Deals Closed]],0)</f>
        <v>20.010128367993158</v>
      </c>
      <c r="O310" s="6">
        <f>Table134[[#This Row],[Deal Value ($)]]/Table134[[#This Row],[Total Calls]]</f>
        <v>7.4456291601835005</v>
      </c>
      <c r="P310" t="str">
        <f>IF(Table134[[#This Row],[Conversion Rate]]&gt;=20%,"High","Low")</f>
        <v>High</v>
      </c>
    </row>
    <row r="311" spans="1:16" x14ac:dyDescent="0.25">
      <c r="A311" s="2">
        <v>45477</v>
      </c>
      <c r="B311" s="2" t="str">
        <f>TEXT(Table134[[#This Row],[Date]],"MMM")</f>
        <v>Jul</v>
      </c>
      <c r="C311">
        <v>84</v>
      </c>
      <c r="D311">
        <v>41</v>
      </c>
      <c r="E311" s="3">
        <v>307.4097511688326</v>
      </c>
      <c r="F311">
        <v>1</v>
      </c>
      <c r="G311" s="6">
        <v>1680.1881993492129</v>
      </c>
      <c r="H311" t="s">
        <v>49</v>
      </c>
      <c r="I311" t="s">
        <v>37</v>
      </c>
      <c r="J311" t="str">
        <f>Table134[[#This Row],[First Name]]&amp;" "&amp;Table134[[#This Row],[Last Name]]</f>
        <v>Jane Johnson</v>
      </c>
      <c r="K311" t="s">
        <v>45</v>
      </c>
      <c r="L311" s="5">
        <f>Table134[[#This Row],[Calls Reached]]/Table134[[#This Row],[Total Calls]]</f>
        <v>0.48809523809523808</v>
      </c>
      <c r="M311" s="5">
        <f>Table134[[#This Row],[Deals Closed]]/Table134[[#This Row],[Calls Reached]]</f>
        <v>2.4390243902439025E-2</v>
      </c>
      <c r="N311" s="6">
        <f>IFERROR(Table134[[#This Row],[Deal Value ($)]]/Table134[[#This Row],[Deals Closed]],0)</f>
        <v>1680.1881993492129</v>
      </c>
      <c r="O311" s="6">
        <f>Table134[[#This Row],[Deal Value ($)]]/Table134[[#This Row],[Total Calls]]</f>
        <v>20.002240468443013</v>
      </c>
      <c r="P311" t="str">
        <f>IF(Table134[[#This Row],[Conversion Rate]]&gt;=20%,"High","Low")</f>
        <v>Low</v>
      </c>
    </row>
    <row r="312" spans="1:16" x14ac:dyDescent="0.25">
      <c r="A312" s="2">
        <v>45478</v>
      </c>
      <c r="B312" s="2" t="str">
        <f>TEXT(Table134[[#This Row],[Date]],"MMM")</f>
        <v>Jul</v>
      </c>
      <c r="C312">
        <v>93</v>
      </c>
      <c r="D312">
        <v>72</v>
      </c>
      <c r="E312" s="3">
        <v>236.7035359653531</v>
      </c>
      <c r="F312">
        <v>13</v>
      </c>
      <c r="G312" s="6">
        <v>3177.8506881511471</v>
      </c>
      <c r="H312" t="s">
        <v>48</v>
      </c>
      <c r="I312" t="s">
        <v>42</v>
      </c>
      <c r="J312" t="str">
        <f>Table134[[#This Row],[First Name]]&amp;" "&amp;Table134[[#This Row],[Last Name]]</f>
        <v>Anna Martinez</v>
      </c>
      <c r="K312" t="s">
        <v>46</v>
      </c>
      <c r="L312" s="5">
        <f>Table134[[#This Row],[Calls Reached]]/Table134[[#This Row],[Total Calls]]</f>
        <v>0.77419354838709675</v>
      </c>
      <c r="M312" s="5">
        <f>Table134[[#This Row],[Deals Closed]]/Table134[[#This Row],[Calls Reached]]</f>
        <v>0.18055555555555555</v>
      </c>
      <c r="N312" s="6">
        <f>IFERROR(Table134[[#This Row],[Deal Value ($)]]/Table134[[#This Row],[Deals Closed]],0)</f>
        <v>244.45005293470362</v>
      </c>
      <c r="O312" s="6">
        <f>Table134[[#This Row],[Deal Value ($)]]/Table134[[#This Row],[Total Calls]]</f>
        <v>34.17043750700158</v>
      </c>
      <c r="P312" t="str">
        <f>IF(Table134[[#This Row],[Conversion Rate]]&gt;=20%,"High","Low")</f>
        <v>Low</v>
      </c>
    </row>
    <row r="313" spans="1:16" x14ac:dyDescent="0.25">
      <c r="A313" s="2">
        <v>45481</v>
      </c>
      <c r="B313" s="2" t="str">
        <f>TEXT(Table134[[#This Row],[Date]],"MMM")</f>
        <v>Jul</v>
      </c>
      <c r="C313">
        <v>89</v>
      </c>
      <c r="D313">
        <v>60</v>
      </c>
      <c r="E313" s="3">
        <v>128.18774832546359</v>
      </c>
      <c r="F313">
        <v>39</v>
      </c>
      <c r="G313" s="6">
        <v>731.41616067912651</v>
      </c>
      <c r="H313" t="s">
        <v>49</v>
      </c>
      <c r="I313" t="s">
        <v>38</v>
      </c>
      <c r="J313" t="str">
        <f>Table134[[#This Row],[First Name]]&amp;" "&amp;Table134[[#This Row],[Last Name]]</f>
        <v>Jane Rodriguez</v>
      </c>
      <c r="K313" t="s">
        <v>45</v>
      </c>
      <c r="L313" s="5">
        <f>Table134[[#This Row],[Calls Reached]]/Table134[[#This Row],[Total Calls]]</f>
        <v>0.6741573033707865</v>
      </c>
      <c r="M313" s="5">
        <f>Table134[[#This Row],[Deals Closed]]/Table134[[#This Row],[Calls Reached]]</f>
        <v>0.65</v>
      </c>
      <c r="N313" s="6">
        <f>IFERROR(Table134[[#This Row],[Deal Value ($)]]/Table134[[#This Row],[Deals Closed]],0)</f>
        <v>18.754260530234014</v>
      </c>
      <c r="O313" s="6">
        <f>Table134[[#This Row],[Deal Value ($)]]/Table134[[#This Row],[Total Calls]]</f>
        <v>8.2181591087542305</v>
      </c>
      <c r="P313" t="str">
        <f>IF(Table134[[#This Row],[Conversion Rate]]&gt;=20%,"High","Low")</f>
        <v>High</v>
      </c>
    </row>
    <row r="314" spans="1:16" x14ac:dyDescent="0.25">
      <c r="A314" s="2">
        <v>45482</v>
      </c>
      <c r="B314" s="2" t="str">
        <f>TEXT(Table134[[#This Row],[Date]],"MMM")</f>
        <v>Jul</v>
      </c>
      <c r="C314">
        <v>71</v>
      </c>
      <c r="D314">
        <v>34</v>
      </c>
      <c r="E314" s="3">
        <v>532.36118812752659</v>
      </c>
      <c r="F314">
        <v>39</v>
      </c>
      <c r="G314" s="6">
        <v>2733.648112405564</v>
      </c>
      <c r="H314" t="s">
        <v>34</v>
      </c>
      <c r="I314" t="s">
        <v>37</v>
      </c>
      <c r="J314" t="str">
        <f>Table134[[#This Row],[First Name]]&amp;" "&amp;Table134[[#This Row],[Last Name]]</f>
        <v>Mimi Johnson</v>
      </c>
      <c r="K314" t="s">
        <v>45</v>
      </c>
      <c r="L314" s="5">
        <f>Table134[[#This Row],[Calls Reached]]/Table134[[#This Row],[Total Calls]]</f>
        <v>0.47887323943661969</v>
      </c>
      <c r="M314" s="5">
        <f>Table134[[#This Row],[Deals Closed]]/Table134[[#This Row],[Calls Reached]]</f>
        <v>1.1470588235294117</v>
      </c>
      <c r="N314" s="6">
        <f>IFERROR(Table134[[#This Row],[Deal Value ($)]]/Table134[[#This Row],[Deals Closed]],0)</f>
        <v>70.093541343732412</v>
      </c>
      <c r="O314" s="6">
        <f>Table134[[#This Row],[Deal Value ($)]]/Table134[[#This Row],[Total Calls]]</f>
        <v>38.502086090219208</v>
      </c>
      <c r="P314" t="str">
        <f>IF(Table134[[#This Row],[Conversion Rate]]&gt;=20%,"High","Low")</f>
        <v>High</v>
      </c>
    </row>
    <row r="315" spans="1:16" x14ac:dyDescent="0.25">
      <c r="A315" s="2">
        <v>45483</v>
      </c>
      <c r="B315" s="2" t="str">
        <f>TEXT(Table134[[#This Row],[Date]],"MMM")</f>
        <v>Jul</v>
      </c>
      <c r="C315">
        <v>76</v>
      </c>
      <c r="D315">
        <v>67</v>
      </c>
      <c r="E315" s="3">
        <v>506.45050456503878</v>
      </c>
      <c r="F315">
        <v>38</v>
      </c>
      <c r="G315" s="6">
        <v>3185.792820126002</v>
      </c>
      <c r="H315" t="s">
        <v>9</v>
      </c>
      <c r="I315" t="s">
        <v>42</v>
      </c>
      <c r="J315" t="str">
        <f>Table134[[#This Row],[First Name]]&amp;" "&amp;Table134[[#This Row],[Last Name]]</f>
        <v>Evan Martinez</v>
      </c>
      <c r="K315" t="s">
        <v>45</v>
      </c>
      <c r="L315" s="5">
        <f>Table134[[#This Row],[Calls Reached]]/Table134[[#This Row],[Total Calls]]</f>
        <v>0.88157894736842102</v>
      </c>
      <c r="M315" s="5">
        <f>Table134[[#This Row],[Deals Closed]]/Table134[[#This Row],[Calls Reached]]</f>
        <v>0.56716417910447758</v>
      </c>
      <c r="N315" s="6">
        <f>IFERROR(Table134[[#This Row],[Deal Value ($)]]/Table134[[#This Row],[Deals Closed]],0)</f>
        <v>83.836653161210577</v>
      </c>
      <c r="O315" s="6">
        <f>Table134[[#This Row],[Deal Value ($)]]/Table134[[#This Row],[Total Calls]]</f>
        <v>41.918326580605289</v>
      </c>
      <c r="P315" t="str">
        <f>IF(Table134[[#This Row],[Conversion Rate]]&gt;=20%,"High","Low")</f>
        <v>High</v>
      </c>
    </row>
    <row r="316" spans="1:16" x14ac:dyDescent="0.25">
      <c r="A316" s="2">
        <v>45484</v>
      </c>
      <c r="B316" s="2" t="str">
        <f>TEXT(Table134[[#This Row],[Date]],"MMM")</f>
        <v>Jul</v>
      </c>
      <c r="C316">
        <v>84</v>
      </c>
      <c r="D316">
        <v>72</v>
      </c>
      <c r="E316" s="3">
        <v>599.85883664306527</v>
      </c>
      <c r="F316">
        <v>5</v>
      </c>
      <c r="G316" s="6">
        <v>2004.097508676324</v>
      </c>
      <c r="H316" t="s">
        <v>9</v>
      </c>
      <c r="I316" t="s">
        <v>37</v>
      </c>
      <c r="J316" t="str">
        <f>Table134[[#This Row],[First Name]]&amp;" "&amp;Table134[[#This Row],[Last Name]]</f>
        <v>Evan Johnson</v>
      </c>
      <c r="K316" t="s">
        <v>45</v>
      </c>
      <c r="L316" s="5">
        <f>Table134[[#This Row],[Calls Reached]]/Table134[[#This Row],[Total Calls]]</f>
        <v>0.8571428571428571</v>
      </c>
      <c r="M316" s="5">
        <f>Table134[[#This Row],[Deals Closed]]/Table134[[#This Row],[Calls Reached]]</f>
        <v>6.9444444444444448E-2</v>
      </c>
      <c r="N316" s="6">
        <f>IFERROR(Table134[[#This Row],[Deal Value ($)]]/Table134[[#This Row],[Deals Closed]],0)</f>
        <v>400.81950173526479</v>
      </c>
      <c r="O316" s="6">
        <f>Table134[[#This Row],[Deal Value ($)]]/Table134[[#This Row],[Total Calls]]</f>
        <v>23.858303674718144</v>
      </c>
      <c r="P316" t="str">
        <f>IF(Table134[[#This Row],[Conversion Rate]]&gt;=20%,"High","Low")</f>
        <v>Low</v>
      </c>
    </row>
    <row r="317" spans="1:16" x14ac:dyDescent="0.25">
      <c r="A317" s="2">
        <v>45485</v>
      </c>
      <c r="B317" s="2" t="str">
        <f>TEXT(Table134[[#This Row],[Date]],"MMM")</f>
        <v>Jul</v>
      </c>
      <c r="C317">
        <v>50</v>
      </c>
      <c r="D317">
        <v>71</v>
      </c>
      <c r="E317" s="3">
        <v>598.31841853695266</v>
      </c>
      <c r="F317">
        <v>5</v>
      </c>
      <c r="G317" s="6">
        <v>3969.104916856199</v>
      </c>
      <c r="H317" t="s">
        <v>48</v>
      </c>
      <c r="I317" t="s">
        <v>37</v>
      </c>
      <c r="J317" t="str">
        <f>Table134[[#This Row],[First Name]]&amp;" "&amp;Table134[[#This Row],[Last Name]]</f>
        <v>Anna Johnson</v>
      </c>
      <c r="K317" t="s">
        <v>45</v>
      </c>
      <c r="L317" s="5">
        <f>Table134[[#This Row],[Calls Reached]]/Table134[[#This Row],[Total Calls]]</f>
        <v>1.42</v>
      </c>
      <c r="M317" s="5">
        <f>Table134[[#This Row],[Deals Closed]]/Table134[[#This Row],[Calls Reached]]</f>
        <v>7.0422535211267609E-2</v>
      </c>
      <c r="N317" s="6">
        <f>IFERROR(Table134[[#This Row],[Deal Value ($)]]/Table134[[#This Row],[Deals Closed]],0)</f>
        <v>793.82098337123978</v>
      </c>
      <c r="O317" s="6">
        <f>Table134[[#This Row],[Deal Value ($)]]/Table134[[#This Row],[Total Calls]]</f>
        <v>79.382098337123978</v>
      </c>
      <c r="P317" t="str">
        <f>IF(Table134[[#This Row],[Conversion Rate]]&gt;=20%,"High","Low")</f>
        <v>Low</v>
      </c>
    </row>
    <row r="318" spans="1:16" x14ac:dyDescent="0.25">
      <c r="A318" s="2">
        <v>45488</v>
      </c>
      <c r="B318" s="2" t="str">
        <f>TEXT(Table134[[#This Row],[Date]],"MMM")</f>
        <v>Jul</v>
      </c>
      <c r="C318">
        <v>84</v>
      </c>
      <c r="D318">
        <v>31</v>
      </c>
      <c r="E318" s="3">
        <v>377.7158528013137</v>
      </c>
      <c r="F318">
        <v>2</v>
      </c>
      <c r="G318" s="6">
        <v>979.69213910197311</v>
      </c>
      <c r="H318" t="s">
        <v>12</v>
      </c>
      <c r="I318" t="s">
        <v>38</v>
      </c>
      <c r="J318" t="str">
        <f>Table134[[#This Row],[First Name]]&amp;" "&amp;Table134[[#This Row],[Last Name]]</f>
        <v>Jake Rodriguez</v>
      </c>
      <c r="K318" t="s">
        <v>45</v>
      </c>
      <c r="L318" s="5">
        <f>Table134[[#This Row],[Calls Reached]]/Table134[[#This Row],[Total Calls]]</f>
        <v>0.36904761904761907</v>
      </c>
      <c r="M318" s="5">
        <f>Table134[[#This Row],[Deals Closed]]/Table134[[#This Row],[Calls Reached]]</f>
        <v>6.4516129032258063E-2</v>
      </c>
      <c r="N318" s="6">
        <f>IFERROR(Table134[[#This Row],[Deal Value ($)]]/Table134[[#This Row],[Deals Closed]],0)</f>
        <v>489.84606955098656</v>
      </c>
      <c r="O318" s="6">
        <f>Table134[[#This Row],[Deal Value ($)]]/Table134[[#This Row],[Total Calls]]</f>
        <v>11.66300165597587</v>
      </c>
      <c r="P318" t="str">
        <f>IF(Table134[[#This Row],[Conversion Rate]]&gt;=20%,"High","Low")</f>
        <v>Low</v>
      </c>
    </row>
    <row r="319" spans="1:16" x14ac:dyDescent="0.25">
      <c r="A319" s="2">
        <v>45489</v>
      </c>
      <c r="B319" s="2" t="str">
        <f>TEXT(Table134[[#This Row],[Date]],"MMM")</f>
        <v>Jul</v>
      </c>
      <c r="C319">
        <v>86</v>
      </c>
      <c r="D319">
        <v>67</v>
      </c>
      <c r="E319" s="3">
        <v>484.49370759025533</v>
      </c>
      <c r="F319">
        <v>6</v>
      </c>
      <c r="G319" s="6">
        <v>838.12001781113941</v>
      </c>
      <c r="H319" t="s">
        <v>49</v>
      </c>
      <c r="I319" t="s">
        <v>37</v>
      </c>
      <c r="J319" t="str">
        <f>Table134[[#This Row],[First Name]]&amp;" "&amp;Table134[[#This Row],[Last Name]]</f>
        <v>Jane Johnson</v>
      </c>
      <c r="K319" t="s">
        <v>45</v>
      </c>
      <c r="L319" s="5">
        <f>Table134[[#This Row],[Calls Reached]]/Table134[[#This Row],[Total Calls]]</f>
        <v>0.77906976744186052</v>
      </c>
      <c r="M319" s="5">
        <f>Table134[[#This Row],[Deals Closed]]/Table134[[#This Row],[Calls Reached]]</f>
        <v>8.9552238805970144E-2</v>
      </c>
      <c r="N319" s="6">
        <f>IFERROR(Table134[[#This Row],[Deal Value ($)]]/Table134[[#This Row],[Deals Closed]],0)</f>
        <v>139.6866696351899</v>
      </c>
      <c r="O319" s="6">
        <f>Table134[[#This Row],[Deal Value ($)]]/Table134[[#This Row],[Total Calls]]</f>
        <v>9.7455816024551094</v>
      </c>
      <c r="P319" t="str">
        <f>IF(Table134[[#This Row],[Conversion Rate]]&gt;=20%,"High","Low")</f>
        <v>Low</v>
      </c>
    </row>
    <row r="320" spans="1:16" x14ac:dyDescent="0.25">
      <c r="A320" s="2">
        <v>45490</v>
      </c>
      <c r="B320" s="2" t="str">
        <f>TEXT(Table134[[#This Row],[Date]],"MMM")</f>
        <v>Jul</v>
      </c>
      <c r="C320">
        <v>96</v>
      </c>
      <c r="D320">
        <v>67</v>
      </c>
      <c r="E320" s="3">
        <v>572.38286494121394</v>
      </c>
      <c r="F320">
        <v>7</v>
      </c>
      <c r="G320" s="6">
        <v>3776.8494029162148</v>
      </c>
      <c r="H320" t="s">
        <v>10</v>
      </c>
      <c r="I320" t="s">
        <v>37</v>
      </c>
      <c r="J320" t="str">
        <f>Table134[[#This Row],[First Name]]&amp;" "&amp;Table134[[#This Row],[Last Name]]</f>
        <v>Alice Johnson</v>
      </c>
      <c r="K320" t="s">
        <v>46</v>
      </c>
      <c r="L320" s="5">
        <f>Table134[[#This Row],[Calls Reached]]/Table134[[#This Row],[Total Calls]]</f>
        <v>0.69791666666666663</v>
      </c>
      <c r="M320" s="5">
        <f>Table134[[#This Row],[Deals Closed]]/Table134[[#This Row],[Calls Reached]]</f>
        <v>0.1044776119402985</v>
      </c>
      <c r="N320" s="6">
        <f>IFERROR(Table134[[#This Row],[Deal Value ($)]]/Table134[[#This Row],[Deals Closed]],0)</f>
        <v>539.54991470231641</v>
      </c>
      <c r="O320" s="6">
        <f>Table134[[#This Row],[Deal Value ($)]]/Table134[[#This Row],[Total Calls]]</f>
        <v>39.34218128037724</v>
      </c>
      <c r="P320" t="str">
        <f>IF(Table134[[#This Row],[Conversion Rate]]&gt;=20%,"High","Low")</f>
        <v>Low</v>
      </c>
    </row>
    <row r="321" spans="1:16" x14ac:dyDescent="0.25">
      <c r="A321" s="2">
        <v>45491</v>
      </c>
      <c r="B321" s="2" t="str">
        <f>TEXT(Table134[[#This Row],[Date]],"MMM")</f>
        <v>Jul</v>
      </c>
      <c r="C321">
        <v>63</v>
      </c>
      <c r="D321">
        <v>58</v>
      </c>
      <c r="E321" s="3">
        <v>524.82369533870565</v>
      </c>
      <c r="F321">
        <v>14</v>
      </c>
      <c r="G321" s="6">
        <v>2729.7109229278931</v>
      </c>
      <c r="H321" t="s">
        <v>9</v>
      </c>
      <c r="I321" t="s">
        <v>38</v>
      </c>
      <c r="J321" t="str">
        <f>Table134[[#This Row],[First Name]]&amp;" "&amp;Table134[[#This Row],[Last Name]]</f>
        <v>Evan Rodriguez</v>
      </c>
      <c r="K321" t="s">
        <v>46</v>
      </c>
      <c r="L321" s="5">
        <f>Table134[[#This Row],[Calls Reached]]/Table134[[#This Row],[Total Calls]]</f>
        <v>0.92063492063492058</v>
      </c>
      <c r="M321" s="5">
        <f>Table134[[#This Row],[Deals Closed]]/Table134[[#This Row],[Calls Reached]]</f>
        <v>0.2413793103448276</v>
      </c>
      <c r="N321" s="6">
        <f>IFERROR(Table134[[#This Row],[Deal Value ($)]]/Table134[[#This Row],[Deals Closed]],0)</f>
        <v>194.97935163770666</v>
      </c>
      <c r="O321" s="6">
        <f>Table134[[#This Row],[Deal Value ($)]]/Table134[[#This Row],[Total Calls]]</f>
        <v>43.328744808379255</v>
      </c>
      <c r="P321" t="str">
        <f>IF(Table134[[#This Row],[Conversion Rate]]&gt;=20%,"High","Low")</f>
        <v>High</v>
      </c>
    </row>
    <row r="322" spans="1:16" x14ac:dyDescent="0.25">
      <c r="A322" s="2">
        <v>45492</v>
      </c>
      <c r="B322" s="2" t="str">
        <f>TEXT(Table134[[#This Row],[Date]],"MMM")</f>
        <v>Jul</v>
      </c>
      <c r="C322">
        <v>52</v>
      </c>
      <c r="D322">
        <v>61</v>
      </c>
      <c r="E322" s="3">
        <v>223.67405087159881</v>
      </c>
      <c r="F322">
        <v>28</v>
      </c>
      <c r="G322" s="6">
        <v>3597.8107839248119</v>
      </c>
      <c r="H322" t="s">
        <v>34</v>
      </c>
      <c r="I322" t="s">
        <v>44</v>
      </c>
      <c r="J322" t="str">
        <f>Table134[[#This Row],[First Name]]&amp;" "&amp;Table134[[#This Row],[Last Name]]</f>
        <v>Mimi Brown</v>
      </c>
      <c r="K322" t="s">
        <v>46</v>
      </c>
      <c r="L322" s="5">
        <f>Table134[[#This Row],[Calls Reached]]/Table134[[#This Row],[Total Calls]]</f>
        <v>1.1730769230769231</v>
      </c>
      <c r="M322" s="5">
        <f>Table134[[#This Row],[Deals Closed]]/Table134[[#This Row],[Calls Reached]]</f>
        <v>0.45901639344262296</v>
      </c>
      <c r="N322" s="6">
        <f>IFERROR(Table134[[#This Row],[Deal Value ($)]]/Table134[[#This Row],[Deals Closed]],0)</f>
        <v>128.49324228302899</v>
      </c>
      <c r="O322" s="6">
        <f>Table134[[#This Row],[Deal Value ($)]]/Table134[[#This Row],[Total Calls]]</f>
        <v>69.188668921630992</v>
      </c>
      <c r="P322" t="str">
        <f>IF(Table134[[#This Row],[Conversion Rate]]&gt;=20%,"High","Low")</f>
        <v>High</v>
      </c>
    </row>
    <row r="323" spans="1:16" x14ac:dyDescent="0.25">
      <c r="A323" s="2">
        <v>45495</v>
      </c>
      <c r="B323" s="2" t="str">
        <f>TEXT(Table134[[#This Row],[Date]],"MMM")</f>
        <v>Jul</v>
      </c>
      <c r="C323">
        <v>50</v>
      </c>
      <c r="D323">
        <v>51</v>
      </c>
      <c r="E323" s="3">
        <v>325.27206765504673</v>
      </c>
      <c r="F323">
        <v>32</v>
      </c>
      <c r="G323" s="6">
        <v>2456.7230237168578</v>
      </c>
      <c r="H323" t="s">
        <v>18</v>
      </c>
      <c r="I323" t="s">
        <v>36</v>
      </c>
      <c r="J323" t="str">
        <f>Table134[[#This Row],[First Name]]&amp;" "&amp;Table134[[#This Row],[Last Name]]</f>
        <v>Chris Smith</v>
      </c>
      <c r="K323" t="s">
        <v>46</v>
      </c>
      <c r="L323" s="5">
        <f>Table134[[#This Row],[Calls Reached]]/Table134[[#This Row],[Total Calls]]</f>
        <v>1.02</v>
      </c>
      <c r="M323" s="5">
        <f>Table134[[#This Row],[Deals Closed]]/Table134[[#This Row],[Calls Reached]]</f>
        <v>0.62745098039215685</v>
      </c>
      <c r="N323" s="6">
        <f>IFERROR(Table134[[#This Row],[Deal Value ($)]]/Table134[[#This Row],[Deals Closed]],0)</f>
        <v>76.772594491151807</v>
      </c>
      <c r="O323" s="6">
        <f>Table134[[#This Row],[Deal Value ($)]]/Table134[[#This Row],[Total Calls]]</f>
        <v>49.134460474337153</v>
      </c>
      <c r="P323" t="str">
        <f>IF(Table134[[#This Row],[Conversion Rate]]&gt;=20%,"High","Low")</f>
        <v>High</v>
      </c>
    </row>
    <row r="324" spans="1:16" x14ac:dyDescent="0.25">
      <c r="A324" s="2">
        <v>45496</v>
      </c>
      <c r="B324" s="2" t="str">
        <f>TEXT(Table134[[#This Row],[Date]],"MMM")</f>
        <v>Jul</v>
      </c>
      <c r="C324">
        <v>54</v>
      </c>
      <c r="D324">
        <v>79</v>
      </c>
      <c r="E324" s="3">
        <v>164.57970757574751</v>
      </c>
      <c r="F324">
        <v>29</v>
      </c>
      <c r="G324" s="6">
        <v>1608.8091495759811</v>
      </c>
      <c r="H324" t="s">
        <v>47</v>
      </c>
      <c r="I324" t="s">
        <v>40</v>
      </c>
      <c r="J324" t="str">
        <f>Table134[[#This Row],[First Name]]&amp;" "&amp;Table134[[#This Row],[Last Name]]</f>
        <v>John Davis</v>
      </c>
      <c r="K324" t="s">
        <v>45</v>
      </c>
      <c r="L324" s="5">
        <f>Table134[[#This Row],[Calls Reached]]/Table134[[#This Row],[Total Calls]]</f>
        <v>1.462962962962963</v>
      </c>
      <c r="M324" s="5">
        <f>Table134[[#This Row],[Deals Closed]]/Table134[[#This Row],[Calls Reached]]</f>
        <v>0.36708860759493672</v>
      </c>
      <c r="N324" s="6">
        <f>IFERROR(Table134[[#This Row],[Deal Value ($)]]/Table134[[#This Row],[Deals Closed]],0)</f>
        <v>55.476177571585552</v>
      </c>
      <c r="O324" s="6">
        <f>Table134[[#This Row],[Deal Value ($)]]/Table134[[#This Row],[Total Calls]]</f>
        <v>29.792762029184836</v>
      </c>
      <c r="P324" t="str">
        <f>IF(Table134[[#This Row],[Conversion Rate]]&gt;=20%,"High","Low")</f>
        <v>High</v>
      </c>
    </row>
    <row r="325" spans="1:16" x14ac:dyDescent="0.25">
      <c r="A325" s="2">
        <v>45497</v>
      </c>
      <c r="B325" s="2" t="str">
        <f>TEXT(Table134[[#This Row],[Date]],"MMM")</f>
        <v>Jul</v>
      </c>
      <c r="C325">
        <v>75</v>
      </c>
      <c r="D325">
        <v>24</v>
      </c>
      <c r="E325" s="3">
        <v>577.02551362936117</v>
      </c>
      <c r="F325">
        <v>38</v>
      </c>
      <c r="G325" s="6">
        <v>4185.9604295338986</v>
      </c>
      <c r="H325" t="s">
        <v>47</v>
      </c>
      <c r="I325" t="s">
        <v>43</v>
      </c>
      <c r="J325" t="str">
        <f>Table134[[#This Row],[First Name]]&amp;" "&amp;Table134[[#This Row],[Last Name]]</f>
        <v>John Williams</v>
      </c>
      <c r="K325" t="s">
        <v>46</v>
      </c>
      <c r="L325" s="5">
        <f>Table134[[#This Row],[Calls Reached]]/Table134[[#This Row],[Total Calls]]</f>
        <v>0.32</v>
      </c>
      <c r="M325" s="5">
        <f>Table134[[#This Row],[Deals Closed]]/Table134[[#This Row],[Calls Reached]]</f>
        <v>1.5833333333333333</v>
      </c>
      <c r="N325" s="6">
        <f>IFERROR(Table134[[#This Row],[Deal Value ($)]]/Table134[[#This Row],[Deals Closed]],0)</f>
        <v>110.1568534087868</v>
      </c>
      <c r="O325" s="6">
        <f>Table134[[#This Row],[Deal Value ($)]]/Table134[[#This Row],[Total Calls]]</f>
        <v>55.812805727118651</v>
      </c>
      <c r="P325" t="str">
        <f>IF(Table134[[#This Row],[Conversion Rate]]&gt;=20%,"High","Low")</f>
        <v>High</v>
      </c>
    </row>
    <row r="326" spans="1:16" x14ac:dyDescent="0.25">
      <c r="A326" s="2">
        <v>45498</v>
      </c>
      <c r="B326" s="2" t="str">
        <f>TEXT(Table134[[#This Row],[Date]],"MMM")</f>
        <v>Jul</v>
      </c>
      <c r="C326">
        <v>63</v>
      </c>
      <c r="D326">
        <v>63</v>
      </c>
      <c r="E326" s="3">
        <v>403.08731722544002</v>
      </c>
      <c r="F326">
        <v>26</v>
      </c>
      <c r="G326" s="6">
        <v>4097.3714553604068</v>
      </c>
      <c r="H326" t="s">
        <v>47</v>
      </c>
      <c r="I326" t="s">
        <v>35</v>
      </c>
      <c r="J326" t="str">
        <f>Table134[[#This Row],[First Name]]&amp;" "&amp;Table134[[#This Row],[Last Name]]</f>
        <v>John Garcia</v>
      </c>
      <c r="K326" t="s">
        <v>46</v>
      </c>
      <c r="L326" s="5">
        <f>Table134[[#This Row],[Calls Reached]]/Table134[[#This Row],[Total Calls]]</f>
        <v>1</v>
      </c>
      <c r="M326" s="5">
        <f>Table134[[#This Row],[Deals Closed]]/Table134[[#This Row],[Calls Reached]]</f>
        <v>0.41269841269841268</v>
      </c>
      <c r="N326" s="6">
        <f>IFERROR(Table134[[#This Row],[Deal Value ($)]]/Table134[[#This Row],[Deals Closed]],0)</f>
        <v>157.59120982155412</v>
      </c>
      <c r="O326" s="6">
        <f>Table134[[#This Row],[Deal Value ($)]]/Table134[[#This Row],[Total Calls]]</f>
        <v>65.037642148577888</v>
      </c>
      <c r="P326" t="str">
        <f>IF(Table134[[#This Row],[Conversion Rate]]&gt;=20%,"High","Low")</f>
        <v>High</v>
      </c>
    </row>
    <row r="327" spans="1:16" x14ac:dyDescent="0.25">
      <c r="A327" s="2">
        <v>45499</v>
      </c>
      <c r="B327" s="2" t="str">
        <f>TEXT(Table134[[#This Row],[Date]],"MMM")</f>
        <v>Jul</v>
      </c>
      <c r="C327">
        <v>88</v>
      </c>
      <c r="D327">
        <v>69</v>
      </c>
      <c r="E327" s="3">
        <v>214.32140275173131</v>
      </c>
      <c r="F327">
        <v>35</v>
      </c>
      <c r="G327" s="6">
        <v>3626.134118844921</v>
      </c>
      <c r="H327" t="s">
        <v>10</v>
      </c>
      <c r="I327" t="s">
        <v>43</v>
      </c>
      <c r="J327" t="str">
        <f>Table134[[#This Row],[First Name]]&amp;" "&amp;Table134[[#This Row],[Last Name]]</f>
        <v>Alice Williams</v>
      </c>
      <c r="K327" t="s">
        <v>45</v>
      </c>
      <c r="L327" s="5">
        <f>Table134[[#This Row],[Calls Reached]]/Table134[[#This Row],[Total Calls]]</f>
        <v>0.78409090909090906</v>
      </c>
      <c r="M327" s="5">
        <f>Table134[[#This Row],[Deals Closed]]/Table134[[#This Row],[Calls Reached]]</f>
        <v>0.50724637681159424</v>
      </c>
      <c r="N327" s="6">
        <f>IFERROR(Table134[[#This Row],[Deal Value ($)]]/Table134[[#This Row],[Deals Closed]],0)</f>
        <v>103.60383196699775</v>
      </c>
      <c r="O327" s="6">
        <f>Table134[[#This Row],[Deal Value ($)]]/Table134[[#This Row],[Total Calls]]</f>
        <v>41.206069532328648</v>
      </c>
      <c r="P327" t="str">
        <f>IF(Table134[[#This Row],[Conversion Rate]]&gt;=20%,"High","Low")</f>
        <v>High</v>
      </c>
    </row>
    <row r="328" spans="1:16" x14ac:dyDescent="0.25">
      <c r="A328" s="2">
        <v>45502</v>
      </c>
      <c r="B328" s="2" t="str">
        <f>TEXT(Table134[[#This Row],[Date]],"MMM")</f>
        <v>Jul</v>
      </c>
      <c r="C328">
        <v>76</v>
      </c>
      <c r="D328">
        <v>17</v>
      </c>
      <c r="E328" s="3">
        <v>435.85034220292829</v>
      </c>
      <c r="F328">
        <v>28</v>
      </c>
      <c r="G328" s="6">
        <v>1724.6531175348321</v>
      </c>
      <c r="H328" t="s">
        <v>12</v>
      </c>
      <c r="I328" t="s">
        <v>43</v>
      </c>
      <c r="J328" t="str">
        <f>Table134[[#This Row],[First Name]]&amp;" "&amp;Table134[[#This Row],[Last Name]]</f>
        <v>Jake Williams</v>
      </c>
      <c r="K328" t="s">
        <v>45</v>
      </c>
      <c r="L328" s="5">
        <f>Table134[[#This Row],[Calls Reached]]/Table134[[#This Row],[Total Calls]]</f>
        <v>0.22368421052631579</v>
      </c>
      <c r="M328" s="5">
        <f>Table134[[#This Row],[Deals Closed]]/Table134[[#This Row],[Calls Reached]]</f>
        <v>1.6470588235294117</v>
      </c>
      <c r="N328" s="6">
        <f>IFERROR(Table134[[#This Row],[Deal Value ($)]]/Table134[[#This Row],[Deals Closed]],0)</f>
        <v>61.594754197672572</v>
      </c>
      <c r="O328" s="6">
        <f>Table134[[#This Row],[Deal Value ($)]]/Table134[[#This Row],[Total Calls]]</f>
        <v>22.692804178089897</v>
      </c>
      <c r="P328" t="str">
        <f>IF(Table134[[#This Row],[Conversion Rate]]&gt;=20%,"High","Low")</f>
        <v>High</v>
      </c>
    </row>
    <row r="329" spans="1:16" x14ac:dyDescent="0.25">
      <c r="A329" s="2">
        <v>45503</v>
      </c>
      <c r="B329" s="2" t="str">
        <f>TEXT(Table134[[#This Row],[Date]],"MMM")</f>
        <v>Jul</v>
      </c>
      <c r="C329">
        <v>58</v>
      </c>
      <c r="D329">
        <v>62</v>
      </c>
      <c r="E329" s="3">
        <v>409.0641202289479</v>
      </c>
      <c r="F329">
        <v>37</v>
      </c>
      <c r="G329" s="6">
        <v>3156.0380009108922</v>
      </c>
      <c r="H329" t="s">
        <v>49</v>
      </c>
      <c r="I329" t="s">
        <v>42</v>
      </c>
      <c r="J329" t="str">
        <f>Table134[[#This Row],[First Name]]&amp;" "&amp;Table134[[#This Row],[Last Name]]</f>
        <v>Jane Martinez</v>
      </c>
      <c r="K329" t="s">
        <v>46</v>
      </c>
      <c r="L329" s="5">
        <f>Table134[[#This Row],[Calls Reached]]/Table134[[#This Row],[Total Calls]]</f>
        <v>1.0689655172413792</v>
      </c>
      <c r="M329" s="5">
        <f>Table134[[#This Row],[Deals Closed]]/Table134[[#This Row],[Calls Reached]]</f>
        <v>0.59677419354838712</v>
      </c>
      <c r="N329" s="6">
        <f>IFERROR(Table134[[#This Row],[Deal Value ($)]]/Table134[[#This Row],[Deals Closed]],0)</f>
        <v>85.298324348943027</v>
      </c>
      <c r="O329" s="6">
        <f>Table134[[#This Row],[Deal Value ($)]]/Table134[[#This Row],[Total Calls]]</f>
        <v>54.414448291567105</v>
      </c>
      <c r="P329" t="str">
        <f>IF(Table134[[#This Row],[Conversion Rate]]&gt;=20%,"High","Low")</f>
        <v>High</v>
      </c>
    </row>
    <row r="330" spans="1:16" x14ac:dyDescent="0.25">
      <c r="A330" s="2">
        <v>45504</v>
      </c>
      <c r="B330" s="2" t="str">
        <f>TEXT(Table134[[#This Row],[Date]],"MMM")</f>
        <v>Jul</v>
      </c>
      <c r="C330">
        <v>64</v>
      </c>
      <c r="D330">
        <v>69</v>
      </c>
      <c r="E330" s="3">
        <v>279.08135901642032</v>
      </c>
      <c r="F330">
        <v>32</v>
      </c>
      <c r="G330" s="6">
        <v>2124.38253623012</v>
      </c>
      <c r="H330" t="s">
        <v>48</v>
      </c>
      <c r="I330" t="s">
        <v>36</v>
      </c>
      <c r="J330" t="str">
        <f>Table134[[#This Row],[First Name]]&amp;" "&amp;Table134[[#This Row],[Last Name]]</f>
        <v>Anna Smith</v>
      </c>
      <c r="K330" t="s">
        <v>46</v>
      </c>
      <c r="L330" s="5">
        <f>Table134[[#This Row],[Calls Reached]]/Table134[[#This Row],[Total Calls]]</f>
        <v>1.078125</v>
      </c>
      <c r="M330" s="5">
        <f>Table134[[#This Row],[Deals Closed]]/Table134[[#This Row],[Calls Reached]]</f>
        <v>0.46376811594202899</v>
      </c>
      <c r="N330" s="6">
        <f>IFERROR(Table134[[#This Row],[Deal Value ($)]]/Table134[[#This Row],[Deals Closed]],0)</f>
        <v>66.386954257191249</v>
      </c>
      <c r="O330" s="6">
        <f>Table134[[#This Row],[Deal Value ($)]]/Table134[[#This Row],[Total Calls]]</f>
        <v>33.193477128595624</v>
      </c>
      <c r="P330" t="str">
        <f>IF(Table134[[#This Row],[Conversion Rate]]&gt;=20%,"High","Low")</f>
        <v>High</v>
      </c>
    </row>
    <row r="331" spans="1:16" x14ac:dyDescent="0.25">
      <c r="A331" s="2">
        <v>45505</v>
      </c>
      <c r="B331" s="2" t="str">
        <f>TEXT(Table134[[#This Row],[Date]],"MMM")</f>
        <v>Aug</v>
      </c>
      <c r="C331">
        <v>53</v>
      </c>
      <c r="D331">
        <v>15</v>
      </c>
      <c r="E331" s="3">
        <v>379.29</v>
      </c>
      <c r="F331">
        <v>2</v>
      </c>
      <c r="G331" s="6">
        <v>3409.69</v>
      </c>
      <c r="H331" t="s">
        <v>11</v>
      </c>
      <c r="I331" t="s">
        <v>41</v>
      </c>
      <c r="J331" t="str">
        <f>Table134[[#This Row],[First Name]]&amp;" "&amp;Table134[[#This Row],[Last Name]]</f>
        <v>Diana Miller</v>
      </c>
      <c r="K331" t="s">
        <v>46</v>
      </c>
      <c r="L331" s="5">
        <f>Table134[[#This Row],[Calls Reached]]/Table134[[#This Row],[Total Calls]]</f>
        <v>0.28301886792452829</v>
      </c>
      <c r="M331" s="5">
        <f>Table134[[#This Row],[Deals Closed]]/Table134[[#This Row],[Calls Reached]]</f>
        <v>0.13333333333333333</v>
      </c>
      <c r="N331" s="6">
        <f>IFERROR(Table134[[#This Row],[Deal Value ($)]]/Table134[[#This Row],[Deals Closed]],0)</f>
        <v>1704.845</v>
      </c>
      <c r="O331" s="6">
        <f>Table134[[#This Row],[Deal Value ($)]]/Table134[[#This Row],[Total Calls]]</f>
        <v>64.333773584905657</v>
      </c>
      <c r="P331" t="str">
        <f>IF(Table134[[#This Row],[Conversion Rate]]&gt;=20%,"High","Low")</f>
        <v>Low</v>
      </c>
    </row>
    <row r="332" spans="1:16" x14ac:dyDescent="0.25">
      <c r="A332" s="2">
        <v>45505</v>
      </c>
      <c r="B332" s="2" t="str">
        <f>TEXT(Table134[[#This Row],[Date]],"MMM")</f>
        <v>Aug</v>
      </c>
      <c r="C332">
        <v>18</v>
      </c>
      <c r="D332">
        <v>8</v>
      </c>
      <c r="E332" s="3">
        <v>82.91</v>
      </c>
      <c r="F332">
        <v>3</v>
      </c>
      <c r="G332" s="6">
        <v>1387.86</v>
      </c>
      <c r="H332" t="s">
        <v>12</v>
      </c>
      <c r="I332" t="s">
        <v>43</v>
      </c>
      <c r="J332" t="str">
        <f>Table134[[#This Row],[First Name]]&amp;" "&amp;Table134[[#This Row],[Last Name]]</f>
        <v>Jake Williams</v>
      </c>
      <c r="K332" t="s">
        <v>45</v>
      </c>
      <c r="L332" s="5">
        <f>Table134[[#This Row],[Calls Reached]]/Table134[[#This Row],[Total Calls]]</f>
        <v>0.44444444444444442</v>
      </c>
      <c r="M332" s="5">
        <f>Table134[[#This Row],[Deals Closed]]/Table134[[#This Row],[Calls Reached]]</f>
        <v>0.375</v>
      </c>
      <c r="N332" s="6">
        <f>IFERROR(Table134[[#This Row],[Deal Value ($)]]/Table134[[#This Row],[Deals Closed]],0)</f>
        <v>462.61999999999995</v>
      </c>
      <c r="O332" s="6">
        <f>Table134[[#This Row],[Deal Value ($)]]/Table134[[#This Row],[Total Calls]]</f>
        <v>77.103333333333325</v>
      </c>
      <c r="P332" t="str">
        <f>IF(Table134[[#This Row],[Conversion Rate]]&gt;=20%,"High","Low")</f>
        <v>High</v>
      </c>
    </row>
    <row r="333" spans="1:16" x14ac:dyDescent="0.25">
      <c r="A333" s="2">
        <v>45505</v>
      </c>
      <c r="B333" s="2" t="str">
        <f>TEXT(Table134[[#This Row],[Date]],"MMM")</f>
        <v>Aug</v>
      </c>
      <c r="C333">
        <v>66</v>
      </c>
      <c r="D333">
        <v>13</v>
      </c>
      <c r="E333" s="3">
        <v>376.76</v>
      </c>
      <c r="F333">
        <v>5</v>
      </c>
      <c r="G333" s="6">
        <v>3819.73</v>
      </c>
      <c r="H333" t="s">
        <v>10</v>
      </c>
      <c r="I333" t="s">
        <v>42</v>
      </c>
      <c r="J333" t="str">
        <f>Table134[[#This Row],[First Name]]&amp;" "&amp;Table134[[#This Row],[Last Name]]</f>
        <v>Alice Martinez</v>
      </c>
      <c r="K333" t="s">
        <v>46</v>
      </c>
      <c r="L333" s="5">
        <f>Table134[[#This Row],[Calls Reached]]/Table134[[#This Row],[Total Calls]]</f>
        <v>0.19696969696969696</v>
      </c>
      <c r="M333" s="5">
        <f>Table134[[#This Row],[Deals Closed]]/Table134[[#This Row],[Calls Reached]]</f>
        <v>0.38461538461538464</v>
      </c>
      <c r="N333" s="6">
        <f>IFERROR(Table134[[#This Row],[Deal Value ($)]]/Table134[[#This Row],[Deals Closed]],0)</f>
        <v>763.94600000000003</v>
      </c>
      <c r="O333" s="6">
        <f>Table134[[#This Row],[Deal Value ($)]]/Table134[[#This Row],[Total Calls]]</f>
        <v>57.87469696969697</v>
      </c>
      <c r="P333" t="str">
        <f>IF(Table134[[#This Row],[Conversion Rate]]&gt;=20%,"High","Low")</f>
        <v>High</v>
      </c>
    </row>
    <row r="334" spans="1:16" x14ac:dyDescent="0.25">
      <c r="A334" s="2">
        <v>45505</v>
      </c>
      <c r="B334" s="2" t="str">
        <f>TEXT(Table134[[#This Row],[Date]],"MMM")</f>
        <v>Aug</v>
      </c>
      <c r="C334">
        <v>72</v>
      </c>
      <c r="D334">
        <v>14</v>
      </c>
      <c r="E334" s="3">
        <v>437.47</v>
      </c>
      <c r="F334">
        <v>4</v>
      </c>
      <c r="G334" s="6">
        <v>958.02</v>
      </c>
      <c r="H334" t="s">
        <v>13</v>
      </c>
      <c r="I334" t="s">
        <v>39</v>
      </c>
      <c r="J334" t="str">
        <f>Table134[[#This Row],[First Name]]&amp;" "&amp;Table134[[#This Row],[Last Name]]</f>
        <v>Liam Jones</v>
      </c>
      <c r="K334" t="s">
        <v>46</v>
      </c>
      <c r="L334" s="5">
        <f>Table134[[#This Row],[Calls Reached]]/Table134[[#This Row],[Total Calls]]</f>
        <v>0.19444444444444445</v>
      </c>
      <c r="M334" s="5">
        <f>Table134[[#This Row],[Deals Closed]]/Table134[[#This Row],[Calls Reached]]</f>
        <v>0.2857142857142857</v>
      </c>
      <c r="N334" s="6">
        <f>IFERROR(Table134[[#This Row],[Deal Value ($)]]/Table134[[#This Row],[Deals Closed]],0)</f>
        <v>239.505</v>
      </c>
      <c r="O334" s="6">
        <f>Table134[[#This Row],[Deal Value ($)]]/Table134[[#This Row],[Total Calls]]</f>
        <v>13.305833333333332</v>
      </c>
      <c r="P334" t="str">
        <f>IF(Table134[[#This Row],[Conversion Rate]]&gt;=20%,"High","Low")</f>
        <v>High</v>
      </c>
    </row>
    <row r="335" spans="1:16" x14ac:dyDescent="0.25">
      <c r="A335" s="2">
        <v>45505</v>
      </c>
      <c r="B335" s="2" t="str">
        <f>TEXT(Table134[[#This Row],[Date]],"MMM")</f>
        <v>Aug</v>
      </c>
      <c r="C335">
        <v>80</v>
      </c>
      <c r="D335">
        <v>13</v>
      </c>
      <c r="E335" s="3">
        <v>504.59</v>
      </c>
      <c r="F335">
        <v>0</v>
      </c>
      <c r="G335" s="6">
        <v>1265.47</v>
      </c>
      <c r="H335" t="s">
        <v>28</v>
      </c>
      <c r="I335" t="s">
        <v>44</v>
      </c>
      <c r="J335" t="str">
        <f>Table134[[#This Row],[First Name]]&amp;" "&amp;Table134[[#This Row],[Last Name]]</f>
        <v>Vicky Brown</v>
      </c>
      <c r="K335" t="s">
        <v>45</v>
      </c>
      <c r="L335" s="5">
        <f>Table134[[#This Row],[Calls Reached]]/Table134[[#This Row],[Total Calls]]</f>
        <v>0.16250000000000001</v>
      </c>
      <c r="M335" s="5">
        <f>Table134[[#This Row],[Deals Closed]]/Table134[[#This Row],[Calls Reached]]</f>
        <v>0</v>
      </c>
      <c r="N335" s="6">
        <f>IFERROR(Table134[[#This Row],[Deal Value ($)]]/Table134[[#This Row],[Deals Closed]],0)</f>
        <v>0</v>
      </c>
      <c r="O335" s="6">
        <f>Table134[[#This Row],[Deal Value ($)]]/Table134[[#This Row],[Total Calls]]</f>
        <v>15.818375</v>
      </c>
      <c r="P335" t="str">
        <f>IF(Table134[[#This Row],[Conversion Rate]]&gt;=20%,"High","Low")</f>
        <v>Low</v>
      </c>
    </row>
    <row r="336" spans="1:16" x14ac:dyDescent="0.25">
      <c r="A336" s="2">
        <v>45505</v>
      </c>
      <c r="B336" s="2" t="str">
        <f>TEXT(Table134[[#This Row],[Date]],"MMM")</f>
        <v>Aug</v>
      </c>
      <c r="C336">
        <v>76</v>
      </c>
      <c r="D336">
        <v>21</v>
      </c>
      <c r="E336" s="3">
        <v>293.93</v>
      </c>
      <c r="F336">
        <v>2</v>
      </c>
      <c r="G336" s="6">
        <v>2531.4</v>
      </c>
      <c r="H336" t="s">
        <v>15</v>
      </c>
      <c r="I336" t="s">
        <v>38</v>
      </c>
      <c r="J336" t="str">
        <f>Table134[[#This Row],[First Name]]&amp;" "&amp;Table134[[#This Row],[Last Name]]</f>
        <v>Rick Rodriguez</v>
      </c>
      <c r="K336" t="s">
        <v>46</v>
      </c>
      <c r="L336" s="5">
        <f>Table134[[#This Row],[Calls Reached]]/Table134[[#This Row],[Total Calls]]</f>
        <v>0.27631578947368424</v>
      </c>
      <c r="M336" s="5">
        <f>Table134[[#This Row],[Deals Closed]]/Table134[[#This Row],[Calls Reached]]</f>
        <v>9.5238095238095233E-2</v>
      </c>
      <c r="N336" s="6">
        <f>IFERROR(Table134[[#This Row],[Deal Value ($)]]/Table134[[#This Row],[Deals Closed]],0)</f>
        <v>1265.7</v>
      </c>
      <c r="O336" s="6">
        <f>Table134[[#This Row],[Deal Value ($)]]/Table134[[#This Row],[Total Calls]]</f>
        <v>33.307894736842108</v>
      </c>
      <c r="P336" t="str">
        <f>IF(Table134[[#This Row],[Conversion Rate]]&gt;=20%,"High","Low")</f>
        <v>Low</v>
      </c>
    </row>
    <row r="337" spans="1:16" x14ac:dyDescent="0.25">
      <c r="A337" s="2">
        <v>45505</v>
      </c>
      <c r="B337" s="2" t="str">
        <f>TEXT(Table134[[#This Row],[Date]],"MMM")</f>
        <v>Aug</v>
      </c>
      <c r="C337">
        <v>40</v>
      </c>
      <c r="D337">
        <v>17</v>
      </c>
      <c r="E337" s="3">
        <v>355.83</v>
      </c>
      <c r="F337">
        <v>6</v>
      </c>
      <c r="G337" s="6">
        <v>4155.8599999999997</v>
      </c>
      <c r="H337" t="s">
        <v>34</v>
      </c>
      <c r="I337" t="s">
        <v>43</v>
      </c>
      <c r="J337" t="str">
        <f>Table134[[#This Row],[First Name]]&amp;" "&amp;Table134[[#This Row],[Last Name]]</f>
        <v>Mimi Williams</v>
      </c>
      <c r="K337" t="s">
        <v>45</v>
      </c>
      <c r="L337" s="5">
        <f>Table134[[#This Row],[Calls Reached]]/Table134[[#This Row],[Total Calls]]</f>
        <v>0.42499999999999999</v>
      </c>
      <c r="M337" s="5">
        <f>Table134[[#This Row],[Deals Closed]]/Table134[[#This Row],[Calls Reached]]</f>
        <v>0.35294117647058826</v>
      </c>
      <c r="N337" s="6">
        <f>IFERROR(Table134[[#This Row],[Deal Value ($)]]/Table134[[#This Row],[Deals Closed]],0)</f>
        <v>692.64333333333332</v>
      </c>
      <c r="O337" s="6">
        <f>Table134[[#This Row],[Deal Value ($)]]/Table134[[#This Row],[Total Calls]]</f>
        <v>103.89649999999999</v>
      </c>
      <c r="P337" t="str">
        <f>IF(Table134[[#This Row],[Conversion Rate]]&gt;=20%,"High","Low")</f>
        <v>High</v>
      </c>
    </row>
    <row r="338" spans="1:16" x14ac:dyDescent="0.25">
      <c r="A338" s="2">
        <v>45505</v>
      </c>
      <c r="B338" s="2" t="str">
        <f>TEXT(Table134[[#This Row],[Date]],"MMM")</f>
        <v>Aug</v>
      </c>
      <c r="C338">
        <v>34</v>
      </c>
      <c r="D338">
        <v>10</v>
      </c>
      <c r="E338" s="3">
        <v>565.11</v>
      </c>
      <c r="F338">
        <v>5</v>
      </c>
      <c r="G338" s="6">
        <v>222.62</v>
      </c>
      <c r="H338" t="s">
        <v>33</v>
      </c>
      <c r="I338" t="s">
        <v>42</v>
      </c>
      <c r="J338" t="str">
        <f>Table134[[#This Row],[First Name]]&amp;" "&amp;Table134[[#This Row],[Last Name]]</f>
        <v>David Martinez</v>
      </c>
      <c r="K338" t="s">
        <v>45</v>
      </c>
      <c r="L338" s="5">
        <f>Table134[[#This Row],[Calls Reached]]/Table134[[#This Row],[Total Calls]]</f>
        <v>0.29411764705882354</v>
      </c>
      <c r="M338" s="5">
        <f>Table134[[#This Row],[Deals Closed]]/Table134[[#This Row],[Calls Reached]]</f>
        <v>0.5</v>
      </c>
      <c r="N338" s="6">
        <f>IFERROR(Table134[[#This Row],[Deal Value ($)]]/Table134[[#This Row],[Deals Closed]],0)</f>
        <v>44.524000000000001</v>
      </c>
      <c r="O338" s="6">
        <f>Table134[[#This Row],[Deal Value ($)]]/Table134[[#This Row],[Total Calls]]</f>
        <v>6.5476470588235296</v>
      </c>
      <c r="P338" t="str">
        <f>IF(Table134[[#This Row],[Conversion Rate]]&gt;=20%,"High","Low")</f>
        <v>High</v>
      </c>
    </row>
    <row r="339" spans="1:16" x14ac:dyDescent="0.25">
      <c r="A339" s="2">
        <v>45505</v>
      </c>
      <c r="B339" s="2" t="str">
        <f>TEXT(Table134[[#This Row],[Date]],"MMM")</f>
        <v>Aug</v>
      </c>
      <c r="C339">
        <v>115</v>
      </c>
      <c r="D339">
        <v>17</v>
      </c>
      <c r="E339" s="3">
        <v>422.48</v>
      </c>
      <c r="F339">
        <v>0</v>
      </c>
      <c r="G339" s="6">
        <v>2681.51</v>
      </c>
      <c r="H339" t="s">
        <v>32</v>
      </c>
      <c r="I339" t="s">
        <v>40</v>
      </c>
      <c r="J339" t="str">
        <f>Table134[[#This Row],[First Name]]&amp;" "&amp;Table134[[#This Row],[Last Name]]</f>
        <v>Craig Davis</v>
      </c>
      <c r="K339" t="s">
        <v>46</v>
      </c>
      <c r="L339" s="5">
        <f>Table134[[#This Row],[Calls Reached]]/Table134[[#This Row],[Total Calls]]</f>
        <v>0.14782608695652175</v>
      </c>
      <c r="M339" s="5">
        <f>Table134[[#This Row],[Deals Closed]]/Table134[[#This Row],[Calls Reached]]</f>
        <v>0</v>
      </c>
      <c r="N339" s="6">
        <f>IFERROR(Table134[[#This Row],[Deal Value ($)]]/Table134[[#This Row],[Deals Closed]],0)</f>
        <v>0</v>
      </c>
      <c r="O339" s="6">
        <f>Table134[[#This Row],[Deal Value ($)]]/Table134[[#This Row],[Total Calls]]</f>
        <v>23.317478260869567</v>
      </c>
      <c r="P339" t="str">
        <f>IF(Table134[[#This Row],[Conversion Rate]]&gt;=20%,"High","Low")</f>
        <v>Low</v>
      </c>
    </row>
    <row r="340" spans="1:16" x14ac:dyDescent="0.25">
      <c r="A340" s="2">
        <v>45505</v>
      </c>
      <c r="B340" s="2" t="str">
        <f>TEXT(Table134[[#This Row],[Date]],"MMM")</f>
        <v>Aug</v>
      </c>
      <c r="C340">
        <v>64</v>
      </c>
      <c r="D340">
        <v>7</v>
      </c>
      <c r="E340" s="3">
        <v>554.20000000000005</v>
      </c>
      <c r="F340">
        <v>2</v>
      </c>
      <c r="G340" s="6">
        <v>3620.9</v>
      </c>
      <c r="H340" t="s">
        <v>14</v>
      </c>
      <c r="I340" t="s">
        <v>41</v>
      </c>
      <c r="J340" t="str">
        <f>Table134[[#This Row],[First Name]]&amp;" "&amp;Table134[[#This Row],[Last Name]]</f>
        <v>Bob Miller</v>
      </c>
      <c r="K340" t="s">
        <v>46</v>
      </c>
      <c r="L340" s="5">
        <f>Table134[[#This Row],[Calls Reached]]/Table134[[#This Row],[Total Calls]]</f>
        <v>0.109375</v>
      </c>
      <c r="M340" s="5">
        <f>Table134[[#This Row],[Deals Closed]]/Table134[[#This Row],[Calls Reached]]</f>
        <v>0.2857142857142857</v>
      </c>
      <c r="N340" s="6">
        <f>IFERROR(Table134[[#This Row],[Deal Value ($)]]/Table134[[#This Row],[Deals Closed]],0)</f>
        <v>1810.45</v>
      </c>
      <c r="O340" s="6">
        <f>Table134[[#This Row],[Deal Value ($)]]/Table134[[#This Row],[Total Calls]]</f>
        <v>56.576562500000001</v>
      </c>
      <c r="P340" t="str">
        <f>IF(Table134[[#This Row],[Conversion Rate]]&gt;=20%,"High","Low")</f>
        <v>High</v>
      </c>
    </row>
    <row r="341" spans="1:16" x14ac:dyDescent="0.25">
      <c r="A341" s="2">
        <v>45505</v>
      </c>
      <c r="B341" s="2" t="str">
        <f>TEXT(Table134[[#This Row],[Date]],"MMM")</f>
        <v>Aug</v>
      </c>
      <c r="C341">
        <v>106</v>
      </c>
      <c r="D341">
        <v>6</v>
      </c>
      <c r="E341" s="3">
        <v>572.16</v>
      </c>
      <c r="F341">
        <v>2</v>
      </c>
      <c r="G341" s="6">
        <v>3398.37</v>
      </c>
      <c r="H341" t="s">
        <v>30</v>
      </c>
      <c r="I341" t="s">
        <v>41</v>
      </c>
      <c r="J341" t="str">
        <f>Table134[[#This Row],[First Name]]&amp;" "&amp;Table134[[#This Row],[Last Name]]</f>
        <v>Emma Miller</v>
      </c>
      <c r="K341" t="s">
        <v>46</v>
      </c>
      <c r="L341" s="5">
        <f>Table134[[#This Row],[Calls Reached]]/Table134[[#This Row],[Total Calls]]</f>
        <v>5.6603773584905662E-2</v>
      </c>
      <c r="M341" s="5">
        <f>Table134[[#This Row],[Deals Closed]]/Table134[[#This Row],[Calls Reached]]</f>
        <v>0.33333333333333331</v>
      </c>
      <c r="N341" s="6">
        <f>IFERROR(Table134[[#This Row],[Deal Value ($)]]/Table134[[#This Row],[Deals Closed]],0)</f>
        <v>1699.1849999999999</v>
      </c>
      <c r="O341" s="6">
        <f>Table134[[#This Row],[Deal Value ($)]]/Table134[[#This Row],[Total Calls]]</f>
        <v>32.060094339622637</v>
      </c>
      <c r="P341" t="str">
        <f>IF(Table134[[#This Row],[Conversion Rate]]&gt;=20%,"High","Low")</f>
        <v>High</v>
      </c>
    </row>
    <row r="342" spans="1:16" x14ac:dyDescent="0.25">
      <c r="A342" s="2">
        <v>45505</v>
      </c>
      <c r="B342" s="2" t="str">
        <f>TEXT(Table134[[#This Row],[Date]],"MMM")</f>
        <v>Aug</v>
      </c>
      <c r="C342">
        <v>18</v>
      </c>
      <c r="D342">
        <v>12</v>
      </c>
      <c r="E342" s="3">
        <v>262.26</v>
      </c>
      <c r="F342">
        <v>1</v>
      </c>
      <c r="G342" s="6">
        <v>1573.7</v>
      </c>
      <c r="H342" t="s">
        <v>29</v>
      </c>
      <c r="I342" t="s">
        <v>42</v>
      </c>
      <c r="J342" t="str">
        <f>Table134[[#This Row],[First Name]]&amp;" "&amp;Table134[[#This Row],[Last Name]]</f>
        <v>Grace Martinez</v>
      </c>
      <c r="K342" t="s">
        <v>46</v>
      </c>
      <c r="L342" s="5">
        <f>Table134[[#This Row],[Calls Reached]]/Table134[[#This Row],[Total Calls]]</f>
        <v>0.66666666666666663</v>
      </c>
      <c r="M342" s="5">
        <f>Table134[[#This Row],[Deals Closed]]/Table134[[#This Row],[Calls Reached]]</f>
        <v>8.3333333333333329E-2</v>
      </c>
      <c r="N342" s="6">
        <f>IFERROR(Table134[[#This Row],[Deal Value ($)]]/Table134[[#This Row],[Deals Closed]],0)</f>
        <v>1573.7</v>
      </c>
      <c r="O342" s="6">
        <f>Table134[[#This Row],[Deal Value ($)]]/Table134[[#This Row],[Total Calls]]</f>
        <v>87.427777777777777</v>
      </c>
      <c r="P342" t="str">
        <f>IF(Table134[[#This Row],[Conversion Rate]]&gt;=20%,"High","Low")</f>
        <v>Low</v>
      </c>
    </row>
    <row r="343" spans="1:16" x14ac:dyDescent="0.25">
      <c r="A343" s="2">
        <v>45505</v>
      </c>
      <c r="B343" s="2" t="str">
        <f>TEXT(Table134[[#This Row],[Date]],"MMM")</f>
        <v>Aug</v>
      </c>
      <c r="C343">
        <v>85</v>
      </c>
      <c r="D343">
        <v>17</v>
      </c>
      <c r="E343" s="3">
        <v>187.72</v>
      </c>
      <c r="F343">
        <v>5</v>
      </c>
      <c r="G343" s="6">
        <v>443.22</v>
      </c>
      <c r="H343" t="s">
        <v>27</v>
      </c>
      <c r="I343" t="s">
        <v>41</v>
      </c>
      <c r="J343" t="str">
        <f>Table134[[#This Row],[First Name]]&amp;" "&amp;Table134[[#This Row],[Last Name]]</f>
        <v>Will Miller</v>
      </c>
      <c r="K343" t="s">
        <v>46</v>
      </c>
      <c r="L343" s="5">
        <f>Table134[[#This Row],[Calls Reached]]/Table134[[#This Row],[Total Calls]]</f>
        <v>0.2</v>
      </c>
      <c r="M343" s="5">
        <f>Table134[[#This Row],[Deals Closed]]/Table134[[#This Row],[Calls Reached]]</f>
        <v>0.29411764705882354</v>
      </c>
      <c r="N343" s="6">
        <f>IFERROR(Table134[[#This Row],[Deal Value ($)]]/Table134[[#This Row],[Deals Closed]],0)</f>
        <v>88.644000000000005</v>
      </c>
      <c r="O343" s="6">
        <f>Table134[[#This Row],[Deal Value ($)]]/Table134[[#This Row],[Total Calls]]</f>
        <v>5.2143529411764709</v>
      </c>
      <c r="P343" t="str">
        <f>IF(Table134[[#This Row],[Conversion Rate]]&gt;=20%,"High","Low")</f>
        <v>High</v>
      </c>
    </row>
    <row r="344" spans="1:16" x14ac:dyDescent="0.25">
      <c r="A344" s="2">
        <v>45505</v>
      </c>
      <c r="B344" s="2" t="str">
        <f>TEXT(Table134[[#This Row],[Date]],"MMM")</f>
        <v>Aug</v>
      </c>
      <c r="C344">
        <v>22</v>
      </c>
      <c r="D344">
        <v>14</v>
      </c>
      <c r="E344" s="3">
        <v>477.3</v>
      </c>
      <c r="F344">
        <v>6</v>
      </c>
      <c r="G344" s="6">
        <v>3790.05</v>
      </c>
      <c r="H344" t="s">
        <v>26</v>
      </c>
      <c r="I344" t="s">
        <v>39</v>
      </c>
      <c r="J344" t="str">
        <f>Table134[[#This Row],[First Name]]&amp;" "&amp;Table134[[#This Row],[Last Name]]</f>
        <v>Darren Jones</v>
      </c>
      <c r="K344" t="s">
        <v>46</v>
      </c>
      <c r="L344" s="5">
        <f>Table134[[#This Row],[Calls Reached]]/Table134[[#This Row],[Total Calls]]</f>
        <v>0.63636363636363635</v>
      </c>
      <c r="M344" s="5">
        <f>Table134[[#This Row],[Deals Closed]]/Table134[[#This Row],[Calls Reached]]</f>
        <v>0.42857142857142855</v>
      </c>
      <c r="N344" s="6">
        <f>IFERROR(Table134[[#This Row],[Deal Value ($)]]/Table134[[#This Row],[Deals Closed]],0)</f>
        <v>631.67500000000007</v>
      </c>
      <c r="O344" s="6">
        <f>Table134[[#This Row],[Deal Value ($)]]/Table134[[#This Row],[Total Calls]]</f>
        <v>172.27500000000001</v>
      </c>
      <c r="P344" t="str">
        <f>IF(Table134[[#This Row],[Conversion Rate]]&gt;=20%,"High","Low")</f>
        <v>High</v>
      </c>
    </row>
    <row r="345" spans="1:16" x14ac:dyDescent="0.25">
      <c r="A345" s="2">
        <v>45505</v>
      </c>
      <c r="B345" s="2" t="str">
        <f>TEXT(Table134[[#This Row],[Date]],"MMM")</f>
        <v>Aug</v>
      </c>
      <c r="C345">
        <v>71</v>
      </c>
      <c r="D345">
        <v>6</v>
      </c>
      <c r="E345" s="3">
        <v>87.5</v>
      </c>
      <c r="F345">
        <v>3</v>
      </c>
      <c r="G345" s="6">
        <v>3666.64</v>
      </c>
      <c r="H345" t="s">
        <v>25</v>
      </c>
      <c r="I345" t="s">
        <v>36</v>
      </c>
      <c r="J345" t="str">
        <f>Table134[[#This Row],[First Name]]&amp;" "&amp;Table134[[#This Row],[Last Name]]</f>
        <v>Karol Smith</v>
      </c>
      <c r="K345" t="s">
        <v>45</v>
      </c>
      <c r="L345" s="5">
        <f>Table134[[#This Row],[Calls Reached]]/Table134[[#This Row],[Total Calls]]</f>
        <v>8.4507042253521125E-2</v>
      </c>
      <c r="M345" s="5">
        <f>Table134[[#This Row],[Deals Closed]]/Table134[[#This Row],[Calls Reached]]</f>
        <v>0.5</v>
      </c>
      <c r="N345" s="6">
        <f>IFERROR(Table134[[#This Row],[Deal Value ($)]]/Table134[[#This Row],[Deals Closed]],0)</f>
        <v>1222.2133333333334</v>
      </c>
      <c r="O345" s="6">
        <f>Table134[[#This Row],[Deal Value ($)]]/Table134[[#This Row],[Total Calls]]</f>
        <v>51.642816901408452</v>
      </c>
      <c r="P345" t="str">
        <f>IF(Table134[[#This Row],[Conversion Rate]]&gt;=20%,"High","Low")</f>
        <v>High</v>
      </c>
    </row>
    <row r="346" spans="1:16" x14ac:dyDescent="0.25">
      <c r="A346" s="2">
        <v>45505</v>
      </c>
      <c r="B346" s="2" t="str">
        <f>TEXT(Table134[[#This Row],[Date]],"MMM")</f>
        <v>Aug</v>
      </c>
      <c r="C346">
        <v>71</v>
      </c>
      <c r="D346">
        <v>9</v>
      </c>
      <c r="E346" s="3">
        <v>172.96</v>
      </c>
      <c r="F346">
        <v>6</v>
      </c>
      <c r="G346" s="6">
        <v>464.49</v>
      </c>
      <c r="H346" t="s">
        <v>31</v>
      </c>
      <c r="I346" t="s">
        <v>42</v>
      </c>
      <c r="J346" t="str">
        <f>Table134[[#This Row],[First Name]]&amp;" "&amp;Table134[[#This Row],[Last Name]]</f>
        <v>Josh Martinez</v>
      </c>
      <c r="K346" t="s">
        <v>46</v>
      </c>
      <c r="L346" s="5">
        <f>Table134[[#This Row],[Calls Reached]]/Table134[[#This Row],[Total Calls]]</f>
        <v>0.12676056338028169</v>
      </c>
      <c r="M346" s="5">
        <f>Table134[[#This Row],[Deals Closed]]/Table134[[#This Row],[Calls Reached]]</f>
        <v>0.66666666666666663</v>
      </c>
      <c r="N346" s="6">
        <f>IFERROR(Table134[[#This Row],[Deal Value ($)]]/Table134[[#This Row],[Deals Closed]],0)</f>
        <v>77.415000000000006</v>
      </c>
      <c r="O346" s="6">
        <f>Table134[[#This Row],[Deal Value ($)]]/Table134[[#This Row],[Total Calls]]</f>
        <v>6.5421126760563384</v>
      </c>
      <c r="P346" t="str">
        <f>IF(Table134[[#This Row],[Conversion Rate]]&gt;=20%,"High","Low")</f>
        <v>High</v>
      </c>
    </row>
    <row r="347" spans="1:16" x14ac:dyDescent="0.25">
      <c r="A347" s="2">
        <v>45505</v>
      </c>
      <c r="B347" s="2" t="str">
        <f>TEXT(Table134[[#This Row],[Date]],"MMM")</f>
        <v>Aug</v>
      </c>
      <c r="C347">
        <v>73</v>
      </c>
      <c r="D347">
        <v>8</v>
      </c>
      <c r="E347" s="3">
        <v>191.76</v>
      </c>
      <c r="F347">
        <v>3</v>
      </c>
      <c r="G347" s="6">
        <v>675.97</v>
      </c>
      <c r="H347" t="s">
        <v>23</v>
      </c>
      <c r="I347" t="s">
        <v>39</v>
      </c>
      <c r="J347" t="str">
        <f>Table134[[#This Row],[First Name]]&amp;" "&amp;Table134[[#This Row],[Last Name]]</f>
        <v>Melissa Jones</v>
      </c>
      <c r="K347" t="s">
        <v>45</v>
      </c>
      <c r="L347" s="5">
        <f>Table134[[#This Row],[Calls Reached]]/Table134[[#This Row],[Total Calls]]</f>
        <v>0.1095890410958904</v>
      </c>
      <c r="M347" s="5">
        <f>Table134[[#This Row],[Deals Closed]]/Table134[[#This Row],[Calls Reached]]</f>
        <v>0.375</v>
      </c>
      <c r="N347" s="6">
        <f>IFERROR(Table134[[#This Row],[Deal Value ($)]]/Table134[[#This Row],[Deals Closed]],0)</f>
        <v>225.32333333333335</v>
      </c>
      <c r="O347" s="6">
        <f>Table134[[#This Row],[Deal Value ($)]]/Table134[[#This Row],[Total Calls]]</f>
        <v>9.2598630136986309</v>
      </c>
      <c r="P347" t="str">
        <f>IF(Table134[[#This Row],[Conversion Rate]]&gt;=20%,"High","Low")</f>
        <v>High</v>
      </c>
    </row>
    <row r="348" spans="1:16" x14ac:dyDescent="0.25">
      <c r="A348" s="2">
        <v>45505</v>
      </c>
      <c r="B348" s="2" t="str">
        <f>TEXT(Table134[[#This Row],[Date]],"MMM")</f>
        <v>Aug</v>
      </c>
      <c r="C348">
        <v>104</v>
      </c>
      <c r="D348">
        <v>4</v>
      </c>
      <c r="E348" s="3">
        <v>169.75</v>
      </c>
      <c r="F348">
        <v>3</v>
      </c>
      <c r="G348" s="6">
        <v>1255.83</v>
      </c>
      <c r="H348" t="s">
        <v>24</v>
      </c>
      <c r="I348" t="s">
        <v>39</v>
      </c>
      <c r="J348" t="str">
        <f>Table134[[#This Row],[First Name]]&amp;" "&amp;Table134[[#This Row],[Last Name]]</f>
        <v>Alex Jones</v>
      </c>
      <c r="K348" t="s">
        <v>45</v>
      </c>
      <c r="L348" s="5">
        <f>Table134[[#This Row],[Calls Reached]]/Table134[[#This Row],[Total Calls]]</f>
        <v>3.8461538461538464E-2</v>
      </c>
      <c r="M348" s="5">
        <f>Table134[[#This Row],[Deals Closed]]/Table134[[#This Row],[Calls Reached]]</f>
        <v>0.75</v>
      </c>
      <c r="N348" s="6">
        <f>IFERROR(Table134[[#This Row],[Deal Value ($)]]/Table134[[#This Row],[Deals Closed]],0)</f>
        <v>418.60999999999996</v>
      </c>
      <c r="O348" s="6">
        <f>Table134[[#This Row],[Deal Value ($)]]/Table134[[#This Row],[Total Calls]]</f>
        <v>12.075288461538461</v>
      </c>
      <c r="P348" t="str">
        <f>IF(Table134[[#This Row],[Conversion Rate]]&gt;=20%,"High","Low")</f>
        <v>High</v>
      </c>
    </row>
    <row r="349" spans="1:16" x14ac:dyDescent="0.25">
      <c r="A349" s="2">
        <v>45505</v>
      </c>
      <c r="B349" s="2" t="str">
        <f>TEXT(Table134[[#This Row],[Date]],"MMM")</f>
        <v>Aug</v>
      </c>
      <c r="C349">
        <v>64</v>
      </c>
      <c r="D349">
        <v>9</v>
      </c>
      <c r="E349" s="3">
        <v>255.17</v>
      </c>
      <c r="F349">
        <v>6</v>
      </c>
      <c r="G349" s="6">
        <v>4136.6899999999996</v>
      </c>
      <c r="H349" t="s">
        <v>16</v>
      </c>
      <c r="I349" t="s">
        <v>39</v>
      </c>
      <c r="J349" t="str">
        <f>Table134[[#This Row],[First Name]]&amp;" "&amp;Table134[[#This Row],[Last Name]]</f>
        <v>Charlie Jones</v>
      </c>
      <c r="K349" t="s">
        <v>46</v>
      </c>
      <c r="L349" s="5">
        <f>Table134[[#This Row],[Calls Reached]]/Table134[[#This Row],[Total Calls]]</f>
        <v>0.140625</v>
      </c>
      <c r="M349" s="5">
        <f>Table134[[#This Row],[Deals Closed]]/Table134[[#This Row],[Calls Reached]]</f>
        <v>0.66666666666666663</v>
      </c>
      <c r="N349" s="6">
        <f>IFERROR(Table134[[#This Row],[Deal Value ($)]]/Table134[[#This Row],[Deals Closed]],0)</f>
        <v>689.44833333333327</v>
      </c>
      <c r="O349" s="6">
        <f>Table134[[#This Row],[Deal Value ($)]]/Table134[[#This Row],[Total Calls]]</f>
        <v>64.635781249999994</v>
      </c>
      <c r="P349" t="str">
        <f>IF(Table134[[#This Row],[Conversion Rate]]&gt;=20%,"High","Low")</f>
        <v>High</v>
      </c>
    </row>
    <row r="350" spans="1:16" x14ac:dyDescent="0.25">
      <c r="A350" s="2">
        <v>45505</v>
      </c>
      <c r="B350" s="2" t="str">
        <f>TEXT(Table134[[#This Row],[Date]],"MMM")</f>
        <v>Aug</v>
      </c>
      <c r="C350">
        <v>26</v>
      </c>
      <c r="D350">
        <v>17</v>
      </c>
      <c r="E350" s="3">
        <v>391.73</v>
      </c>
      <c r="F350">
        <v>7</v>
      </c>
      <c r="G350" s="6">
        <v>1166.55</v>
      </c>
      <c r="H350" t="s">
        <v>17</v>
      </c>
      <c r="I350" t="s">
        <v>37</v>
      </c>
      <c r="J350" t="str">
        <f>Table134[[#This Row],[First Name]]&amp;" "&amp;Table134[[#This Row],[Last Name]]</f>
        <v>Molly Johnson</v>
      </c>
      <c r="K350" t="s">
        <v>45</v>
      </c>
      <c r="L350" s="5">
        <f>Table134[[#This Row],[Calls Reached]]/Table134[[#This Row],[Total Calls]]</f>
        <v>0.65384615384615385</v>
      </c>
      <c r="M350" s="5">
        <f>Table134[[#This Row],[Deals Closed]]/Table134[[#This Row],[Calls Reached]]</f>
        <v>0.41176470588235292</v>
      </c>
      <c r="N350" s="6">
        <f>IFERROR(Table134[[#This Row],[Deal Value ($)]]/Table134[[#This Row],[Deals Closed]],0)</f>
        <v>166.65</v>
      </c>
      <c r="O350" s="6">
        <f>Table134[[#This Row],[Deal Value ($)]]/Table134[[#This Row],[Total Calls]]</f>
        <v>44.867307692307691</v>
      </c>
      <c r="P350" t="str">
        <f>IF(Table134[[#This Row],[Conversion Rate]]&gt;=20%,"High","Low")</f>
        <v>High</v>
      </c>
    </row>
    <row r="351" spans="1:16" x14ac:dyDescent="0.25">
      <c r="A351" s="2">
        <v>45505</v>
      </c>
      <c r="B351" s="2" t="str">
        <f>TEXT(Table134[[#This Row],[Date]],"MMM")</f>
        <v>Aug</v>
      </c>
      <c r="C351">
        <v>65</v>
      </c>
      <c r="D351">
        <v>13</v>
      </c>
      <c r="E351" s="3">
        <v>324.26</v>
      </c>
      <c r="F351">
        <v>7</v>
      </c>
      <c r="G351" s="6">
        <v>1044.8599999999999</v>
      </c>
      <c r="H351" t="s">
        <v>18</v>
      </c>
      <c r="I351" t="s">
        <v>41</v>
      </c>
      <c r="J351" t="str">
        <f>Table134[[#This Row],[First Name]]&amp;" "&amp;Table134[[#This Row],[Last Name]]</f>
        <v>Chris Miller</v>
      </c>
      <c r="K351" t="s">
        <v>45</v>
      </c>
      <c r="L351" s="5">
        <f>Table134[[#This Row],[Calls Reached]]/Table134[[#This Row],[Total Calls]]</f>
        <v>0.2</v>
      </c>
      <c r="M351" s="5">
        <f>Table134[[#This Row],[Deals Closed]]/Table134[[#This Row],[Calls Reached]]</f>
        <v>0.53846153846153844</v>
      </c>
      <c r="N351" s="6">
        <f>IFERROR(Table134[[#This Row],[Deal Value ($)]]/Table134[[#This Row],[Deals Closed]],0)</f>
        <v>149.26571428571427</v>
      </c>
      <c r="O351" s="6">
        <f>Table134[[#This Row],[Deal Value ($)]]/Table134[[#This Row],[Total Calls]]</f>
        <v>16.074769230769228</v>
      </c>
      <c r="P351" t="str">
        <f>IF(Table134[[#This Row],[Conversion Rate]]&gt;=20%,"High","Low")</f>
        <v>High</v>
      </c>
    </row>
    <row r="352" spans="1:16" x14ac:dyDescent="0.25">
      <c r="A352" s="2">
        <v>45505</v>
      </c>
      <c r="B352" s="2" t="str">
        <f>TEXT(Table134[[#This Row],[Date]],"MMM")</f>
        <v>Aug</v>
      </c>
      <c r="C352">
        <v>71</v>
      </c>
      <c r="D352">
        <v>15</v>
      </c>
      <c r="E352" s="3">
        <v>297.05</v>
      </c>
      <c r="F352">
        <v>6</v>
      </c>
      <c r="G352" s="6">
        <v>4043.62</v>
      </c>
      <c r="H352" t="s">
        <v>9</v>
      </c>
      <c r="I352" t="s">
        <v>38</v>
      </c>
      <c r="J352" t="str">
        <f>Table134[[#This Row],[First Name]]&amp;" "&amp;Table134[[#This Row],[Last Name]]</f>
        <v>Evan Rodriguez</v>
      </c>
      <c r="K352" t="s">
        <v>46</v>
      </c>
      <c r="L352" s="5">
        <f>Table134[[#This Row],[Calls Reached]]/Table134[[#This Row],[Total Calls]]</f>
        <v>0.21126760563380281</v>
      </c>
      <c r="M352" s="5">
        <f>Table134[[#This Row],[Deals Closed]]/Table134[[#This Row],[Calls Reached]]</f>
        <v>0.4</v>
      </c>
      <c r="N352" s="6">
        <f>IFERROR(Table134[[#This Row],[Deal Value ($)]]/Table134[[#This Row],[Deals Closed]],0)</f>
        <v>673.93666666666661</v>
      </c>
      <c r="O352" s="6">
        <f>Table134[[#This Row],[Deal Value ($)]]/Table134[[#This Row],[Total Calls]]</f>
        <v>56.952394366197183</v>
      </c>
      <c r="P352" t="str">
        <f>IF(Table134[[#This Row],[Conversion Rate]]&gt;=20%,"High","Low")</f>
        <v>High</v>
      </c>
    </row>
    <row r="353" spans="1:16" x14ac:dyDescent="0.25">
      <c r="A353" s="2">
        <v>45505</v>
      </c>
      <c r="B353" s="2" t="str">
        <f>TEXT(Table134[[#This Row],[Date]],"MMM")</f>
        <v>Aug</v>
      </c>
      <c r="C353">
        <v>30</v>
      </c>
      <c r="D353">
        <v>6</v>
      </c>
      <c r="E353" s="3">
        <v>549.26</v>
      </c>
      <c r="F353">
        <v>2</v>
      </c>
      <c r="G353" s="6">
        <v>3868.36</v>
      </c>
      <c r="H353" t="s">
        <v>20</v>
      </c>
      <c r="I353" t="s">
        <v>38</v>
      </c>
      <c r="J353" t="str">
        <f>Table134[[#This Row],[First Name]]&amp;" "&amp;Table134[[#This Row],[Last Name]]</f>
        <v>Richard Rodriguez</v>
      </c>
      <c r="K353" t="s">
        <v>46</v>
      </c>
      <c r="L353" s="5">
        <f>Table134[[#This Row],[Calls Reached]]/Table134[[#This Row],[Total Calls]]</f>
        <v>0.2</v>
      </c>
      <c r="M353" s="5">
        <f>Table134[[#This Row],[Deals Closed]]/Table134[[#This Row],[Calls Reached]]</f>
        <v>0.33333333333333331</v>
      </c>
      <c r="N353" s="6">
        <f>IFERROR(Table134[[#This Row],[Deal Value ($)]]/Table134[[#This Row],[Deals Closed]],0)</f>
        <v>1934.18</v>
      </c>
      <c r="O353" s="6">
        <f>Table134[[#This Row],[Deal Value ($)]]/Table134[[#This Row],[Total Calls]]</f>
        <v>128.94533333333334</v>
      </c>
      <c r="P353" t="str">
        <f>IF(Table134[[#This Row],[Conversion Rate]]&gt;=20%,"High","Low")</f>
        <v>High</v>
      </c>
    </row>
    <row r="354" spans="1:16" x14ac:dyDescent="0.25">
      <c r="A354" s="2">
        <v>45505</v>
      </c>
      <c r="B354" s="2" t="str">
        <f>TEXT(Table134[[#This Row],[Date]],"MMM")</f>
        <v>Aug</v>
      </c>
      <c r="C354">
        <v>83</v>
      </c>
      <c r="D354">
        <v>15</v>
      </c>
      <c r="E354" s="3">
        <v>601.05999999999995</v>
      </c>
      <c r="F354">
        <v>3</v>
      </c>
      <c r="G354" s="6">
        <v>350.62</v>
      </c>
      <c r="H354" t="s">
        <v>21</v>
      </c>
      <c r="I354" t="s">
        <v>38</v>
      </c>
      <c r="J354" t="str">
        <f>Table134[[#This Row],[First Name]]&amp;" "&amp;Table134[[#This Row],[Last Name]]</f>
        <v>Paul Rodriguez</v>
      </c>
      <c r="K354" t="s">
        <v>45</v>
      </c>
      <c r="L354" s="5">
        <f>Table134[[#This Row],[Calls Reached]]/Table134[[#This Row],[Total Calls]]</f>
        <v>0.18072289156626506</v>
      </c>
      <c r="M354" s="5">
        <f>Table134[[#This Row],[Deals Closed]]/Table134[[#This Row],[Calls Reached]]</f>
        <v>0.2</v>
      </c>
      <c r="N354" s="6">
        <f>IFERROR(Table134[[#This Row],[Deal Value ($)]]/Table134[[#This Row],[Deals Closed]],0)</f>
        <v>116.87333333333333</v>
      </c>
      <c r="O354" s="6">
        <f>Table134[[#This Row],[Deal Value ($)]]/Table134[[#This Row],[Total Calls]]</f>
        <v>4.2243373493975902</v>
      </c>
      <c r="P354" t="str">
        <f>IF(Table134[[#This Row],[Conversion Rate]]&gt;=20%,"High","Low")</f>
        <v>High</v>
      </c>
    </row>
    <row r="355" spans="1:16" x14ac:dyDescent="0.25">
      <c r="A355" s="2">
        <v>45505</v>
      </c>
      <c r="B355" s="2" t="str">
        <f>TEXT(Table134[[#This Row],[Date]],"MMM")</f>
        <v>Aug</v>
      </c>
      <c r="C355">
        <v>35</v>
      </c>
      <c r="D355">
        <v>6</v>
      </c>
      <c r="E355" s="3">
        <v>192.19</v>
      </c>
      <c r="F355">
        <v>1</v>
      </c>
      <c r="G355" s="6">
        <v>3963.32</v>
      </c>
      <c r="H355" t="s">
        <v>22</v>
      </c>
      <c r="I355" t="s">
        <v>42</v>
      </c>
      <c r="J355" t="str">
        <f>Table134[[#This Row],[First Name]]&amp;" "&amp;Table134[[#This Row],[Last Name]]</f>
        <v>Ian Martinez</v>
      </c>
      <c r="K355" t="s">
        <v>45</v>
      </c>
      <c r="L355" s="5">
        <f>Table134[[#This Row],[Calls Reached]]/Table134[[#This Row],[Total Calls]]</f>
        <v>0.17142857142857143</v>
      </c>
      <c r="M355" s="5">
        <f>Table134[[#This Row],[Deals Closed]]/Table134[[#This Row],[Calls Reached]]</f>
        <v>0.16666666666666666</v>
      </c>
      <c r="N355" s="6">
        <f>IFERROR(Table134[[#This Row],[Deal Value ($)]]/Table134[[#This Row],[Deals Closed]],0)</f>
        <v>3963.32</v>
      </c>
      <c r="O355" s="6">
        <f>Table134[[#This Row],[Deal Value ($)]]/Table134[[#This Row],[Total Calls]]</f>
        <v>113.23771428571429</v>
      </c>
      <c r="P355" t="str">
        <f>IF(Table134[[#This Row],[Conversion Rate]]&gt;=20%,"High","Low")</f>
        <v>Low</v>
      </c>
    </row>
    <row r="356" spans="1:16" x14ac:dyDescent="0.25">
      <c r="A356" s="2">
        <v>45505</v>
      </c>
      <c r="B356" s="2" t="str">
        <f>TEXT(Table134[[#This Row],[Date]],"MMM")</f>
        <v>Aug</v>
      </c>
      <c r="C356">
        <v>22</v>
      </c>
      <c r="D356">
        <v>9</v>
      </c>
      <c r="E356" s="3">
        <v>211.28</v>
      </c>
      <c r="F356">
        <v>8</v>
      </c>
      <c r="G356" s="6">
        <v>772.77</v>
      </c>
      <c r="H356" t="s">
        <v>19</v>
      </c>
      <c r="I356" t="s">
        <v>35</v>
      </c>
      <c r="J356" t="str">
        <f>Table134[[#This Row],[First Name]]&amp;" "&amp;Table134[[#This Row],[Last Name]]</f>
        <v>James Garcia</v>
      </c>
      <c r="K356" t="s">
        <v>45</v>
      </c>
      <c r="L356" s="5">
        <f>Table134[[#This Row],[Calls Reached]]/Table134[[#This Row],[Total Calls]]</f>
        <v>0.40909090909090912</v>
      </c>
      <c r="M356" s="5">
        <f>Table134[[#This Row],[Deals Closed]]/Table134[[#This Row],[Calls Reached]]</f>
        <v>0.88888888888888884</v>
      </c>
      <c r="N356" s="6">
        <f>IFERROR(Table134[[#This Row],[Deal Value ($)]]/Table134[[#This Row],[Deals Closed]],0)</f>
        <v>96.596249999999998</v>
      </c>
      <c r="O356" s="6">
        <f>Table134[[#This Row],[Deal Value ($)]]/Table134[[#This Row],[Total Calls]]</f>
        <v>35.12590909090909</v>
      </c>
      <c r="P356" t="str">
        <f>IF(Table134[[#This Row],[Conversion Rate]]&gt;=20%,"High","Low")</f>
        <v>High</v>
      </c>
    </row>
    <row r="357" spans="1:16" x14ac:dyDescent="0.25">
      <c r="A357" s="2">
        <v>45506</v>
      </c>
      <c r="B357" s="2" t="str">
        <f>TEXT(Table134[[#This Row],[Date]],"MMM")</f>
        <v>Aug</v>
      </c>
      <c r="C357">
        <v>64</v>
      </c>
      <c r="D357">
        <v>14</v>
      </c>
      <c r="E357" s="3">
        <v>156.77879609981451</v>
      </c>
      <c r="F357">
        <v>36</v>
      </c>
      <c r="G357" s="6">
        <v>912.11932996985365</v>
      </c>
      <c r="H357" t="s">
        <v>10</v>
      </c>
      <c r="I357" t="s">
        <v>42</v>
      </c>
      <c r="J357" t="str">
        <f>Table134[[#This Row],[First Name]]&amp;" "&amp;Table134[[#This Row],[Last Name]]</f>
        <v>Alice Martinez</v>
      </c>
      <c r="K357" t="s">
        <v>45</v>
      </c>
      <c r="L357" s="5">
        <f>Table134[[#This Row],[Calls Reached]]/Table134[[#This Row],[Total Calls]]</f>
        <v>0.21875</v>
      </c>
      <c r="M357" s="5">
        <f>Table134[[#This Row],[Deals Closed]]/Table134[[#This Row],[Calls Reached]]</f>
        <v>2.5714285714285716</v>
      </c>
      <c r="N357" s="6">
        <f>IFERROR(Table134[[#This Row],[Deal Value ($)]]/Table134[[#This Row],[Deals Closed]],0)</f>
        <v>25.336648054718157</v>
      </c>
      <c r="O357" s="6">
        <f>Table134[[#This Row],[Deal Value ($)]]/Table134[[#This Row],[Total Calls]]</f>
        <v>14.251864530778963</v>
      </c>
      <c r="P357" t="str">
        <f>IF(Table134[[#This Row],[Conversion Rate]]&gt;=20%,"High","Low")</f>
        <v>High</v>
      </c>
    </row>
    <row r="358" spans="1:16" x14ac:dyDescent="0.25">
      <c r="A358" s="2">
        <v>45509</v>
      </c>
      <c r="B358" s="2" t="str">
        <f>TEXT(Table134[[#This Row],[Date]],"MMM")</f>
        <v>Aug</v>
      </c>
      <c r="C358">
        <v>75</v>
      </c>
      <c r="D358">
        <v>77</v>
      </c>
      <c r="E358" s="3">
        <v>435.7865977963998</v>
      </c>
      <c r="F358">
        <v>26</v>
      </c>
      <c r="G358" s="6">
        <v>4627.9110895800923</v>
      </c>
      <c r="H358" t="s">
        <v>10</v>
      </c>
      <c r="I358" t="s">
        <v>36</v>
      </c>
      <c r="J358" t="str">
        <f>Table134[[#This Row],[First Name]]&amp;" "&amp;Table134[[#This Row],[Last Name]]</f>
        <v>Alice Smith</v>
      </c>
      <c r="K358" t="s">
        <v>46</v>
      </c>
      <c r="L358" s="5">
        <f>Table134[[#This Row],[Calls Reached]]/Table134[[#This Row],[Total Calls]]</f>
        <v>1.0266666666666666</v>
      </c>
      <c r="M358" s="5">
        <f>Table134[[#This Row],[Deals Closed]]/Table134[[#This Row],[Calls Reached]]</f>
        <v>0.33766233766233766</v>
      </c>
      <c r="N358" s="6">
        <f>IFERROR(Table134[[#This Row],[Deal Value ($)]]/Table134[[#This Row],[Deals Closed]],0)</f>
        <v>177.99658036846509</v>
      </c>
      <c r="O358" s="6">
        <f>Table134[[#This Row],[Deal Value ($)]]/Table134[[#This Row],[Total Calls]]</f>
        <v>61.70548119440123</v>
      </c>
      <c r="P358" t="str">
        <f>IF(Table134[[#This Row],[Conversion Rate]]&gt;=20%,"High","Low")</f>
        <v>High</v>
      </c>
    </row>
    <row r="359" spans="1:16" x14ac:dyDescent="0.25">
      <c r="A359" s="2">
        <v>45510</v>
      </c>
      <c r="B359" s="2" t="str">
        <f>TEXT(Table134[[#This Row],[Date]],"MMM")</f>
        <v>Aug</v>
      </c>
      <c r="C359">
        <v>91</v>
      </c>
      <c r="D359">
        <v>15</v>
      </c>
      <c r="E359" s="3">
        <v>360.15385045189657</v>
      </c>
      <c r="F359">
        <v>32</v>
      </c>
      <c r="G359" s="6">
        <v>1115.683839135326</v>
      </c>
      <c r="H359" t="s">
        <v>9</v>
      </c>
      <c r="I359" t="s">
        <v>38</v>
      </c>
      <c r="J359" t="str">
        <f>Table134[[#This Row],[First Name]]&amp;" "&amp;Table134[[#This Row],[Last Name]]</f>
        <v>Evan Rodriguez</v>
      </c>
      <c r="K359" t="s">
        <v>45</v>
      </c>
      <c r="L359" s="5">
        <f>Table134[[#This Row],[Calls Reached]]/Table134[[#This Row],[Total Calls]]</f>
        <v>0.16483516483516483</v>
      </c>
      <c r="M359" s="5">
        <f>Table134[[#This Row],[Deals Closed]]/Table134[[#This Row],[Calls Reached]]</f>
        <v>2.1333333333333333</v>
      </c>
      <c r="N359" s="6">
        <f>IFERROR(Table134[[#This Row],[Deal Value ($)]]/Table134[[#This Row],[Deals Closed]],0)</f>
        <v>34.865119972978938</v>
      </c>
      <c r="O359" s="6">
        <f>Table134[[#This Row],[Deal Value ($)]]/Table134[[#This Row],[Total Calls]]</f>
        <v>12.260261968520066</v>
      </c>
      <c r="P359" t="str">
        <f>IF(Table134[[#This Row],[Conversion Rate]]&gt;=20%,"High","Low")</f>
        <v>High</v>
      </c>
    </row>
    <row r="360" spans="1:16" x14ac:dyDescent="0.25">
      <c r="A360" s="2">
        <v>45511</v>
      </c>
      <c r="B360" s="2" t="str">
        <f>TEXT(Table134[[#This Row],[Date]],"MMM")</f>
        <v>Aug</v>
      </c>
      <c r="C360">
        <v>62</v>
      </c>
      <c r="D360">
        <v>56</v>
      </c>
      <c r="E360" s="3">
        <v>486.15919586781968</v>
      </c>
      <c r="F360">
        <v>3</v>
      </c>
      <c r="G360" s="6">
        <v>4776.0680921936109</v>
      </c>
      <c r="H360" t="s">
        <v>18</v>
      </c>
      <c r="I360" t="s">
        <v>38</v>
      </c>
      <c r="J360" t="str">
        <f>Table134[[#This Row],[First Name]]&amp;" "&amp;Table134[[#This Row],[Last Name]]</f>
        <v>Chris Rodriguez</v>
      </c>
      <c r="K360" t="s">
        <v>45</v>
      </c>
      <c r="L360" s="5">
        <f>Table134[[#This Row],[Calls Reached]]/Table134[[#This Row],[Total Calls]]</f>
        <v>0.90322580645161288</v>
      </c>
      <c r="M360" s="5">
        <f>Table134[[#This Row],[Deals Closed]]/Table134[[#This Row],[Calls Reached]]</f>
        <v>5.3571428571428568E-2</v>
      </c>
      <c r="N360" s="6">
        <f>IFERROR(Table134[[#This Row],[Deal Value ($)]]/Table134[[#This Row],[Deals Closed]],0)</f>
        <v>1592.0226973978704</v>
      </c>
      <c r="O360" s="6">
        <f>Table134[[#This Row],[Deal Value ($)]]/Table134[[#This Row],[Total Calls]]</f>
        <v>77.033356325703409</v>
      </c>
      <c r="P360" t="str">
        <f>IF(Table134[[#This Row],[Conversion Rate]]&gt;=20%,"High","Low")</f>
        <v>Low</v>
      </c>
    </row>
    <row r="361" spans="1:16" x14ac:dyDescent="0.25">
      <c r="A361" s="2">
        <v>45512</v>
      </c>
      <c r="B361" s="2" t="str">
        <f>TEXT(Table134[[#This Row],[Date]],"MMM")</f>
        <v>Aug</v>
      </c>
      <c r="C361">
        <v>81</v>
      </c>
      <c r="D361">
        <v>64</v>
      </c>
      <c r="E361" s="3">
        <v>360.08175055599668</v>
      </c>
      <c r="F361">
        <v>21</v>
      </c>
      <c r="G361" s="6">
        <v>2507.0259783108008</v>
      </c>
      <c r="H361" t="s">
        <v>10</v>
      </c>
      <c r="I361" t="s">
        <v>40</v>
      </c>
      <c r="J361" t="str">
        <f>Table134[[#This Row],[First Name]]&amp;" "&amp;Table134[[#This Row],[Last Name]]</f>
        <v>Alice Davis</v>
      </c>
      <c r="K361" t="s">
        <v>45</v>
      </c>
      <c r="L361" s="5">
        <f>Table134[[#This Row],[Calls Reached]]/Table134[[#This Row],[Total Calls]]</f>
        <v>0.79012345679012341</v>
      </c>
      <c r="M361" s="5">
        <f>Table134[[#This Row],[Deals Closed]]/Table134[[#This Row],[Calls Reached]]</f>
        <v>0.328125</v>
      </c>
      <c r="N361" s="6">
        <f>IFERROR(Table134[[#This Row],[Deal Value ($)]]/Table134[[#This Row],[Deals Closed]],0)</f>
        <v>119.38218944337147</v>
      </c>
      <c r="O361" s="6">
        <f>Table134[[#This Row],[Deal Value ($)]]/Table134[[#This Row],[Total Calls]]</f>
        <v>30.950938003837049</v>
      </c>
      <c r="P361" t="str">
        <f>IF(Table134[[#This Row],[Conversion Rate]]&gt;=20%,"High","Low")</f>
        <v>High</v>
      </c>
    </row>
    <row r="362" spans="1:16" x14ac:dyDescent="0.25">
      <c r="A362" s="2">
        <v>45513</v>
      </c>
      <c r="B362" s="2" t="str">
        <f>TEXT(Table134[[#This Row],[Date]],"MMM")</f>
        <v>Aug</v>
      </c>
      <c r="C362">
        <v>88</v>
      </c>
      <c r="D362">
        <v>49</v>
      </c>
      <c r="E362" s="3">
        <v>526.0907501592701</v>
      </c>
      <c r="F362">
        <v>1</v>
      </c>
      <c r="G362" s="6">
        <v>1333.0981797737879</v>
      </c>
      <c r="H362" t="s">
        <v>34</v>
      </c>
      <c r="I362" t="s">
        <v>36</v>
      </c>
      <c r="J362" t="str">
        <f>Table134[[#This Row],[First Name]]&amp;" "&amp;Table134[[#This Row],[Last Name]]</f>
        <v>Mimi Smith</v>
      </c>
      <c r="K362" t="s">
        <v>45</v>
      </c>
      <c r="L362" s="5">
        <f>Table134[[#This Row],[Calls Reached]]/Table134[[#This Row],[Total Calls]]</f>
        <v>0.55681818181818177</v>
      </c>
      <c r="M362" s="5">
        <f>Table134[[#This Row],[Deals Closed]]/Table134[[#This Row],[Calls Reached]]</f>
        <v>2.0408163265306121E-2</v>
      </c>
      <c r="N362" s="6">
        <f>IFERROR(Table134[[#This Row],[Deal Value ($)]]/Table134[[#This Row],[Deals Closed]],0)</f>
        <v>1333.0981797737879</v>
      </c>
      <c r="O362" s="6">
        <f>Table134[[#This Row],[Deal Value ($)]]/Table134[[#This Row],[Total Calls]]</f>
        <v>15.148842951974864</v>
      </c>
      <c r="P362" t="str">
        <f>IF(Table134[[#This Row],[Conversion Rate]]&gt;=20%,"High","Low")</f>
        <v>Low</v>
      </c>
    </row>
    <row r="363" spans="1:16" x14ac:dyDescent="0.25">
      <c r="A363" s="2">
        <v>45516</v>
      </c>
      <c r="B363" s="2" t="str">
        <f>TEXT(Table134[[#This Row],[Date]],"MMM")</f>
        <v>Aug</v>
      </c>
      <c r="C363">
        <v>98</v>
      </c>
      <c r="D363">
        <v>61</v>
      </c>
      <c r="E363" s="3">
        <v>375.95341938724277</v>
      </c>
      <c r="F363">
        <v>9</v>
      </c>
      <c r="G363" s="6">
        <v>2938.5542632026122</v>
      </c>
      <c r="H363" t="s">
        <v>18</v>
      </c>
      <c r="I363" t="s">
        <v>37</v>
      </c>
      <c r="J363" t="str">
        <f>Table134[[#This Row],[First Name]]&amp;" "&amp;Table134[[#This Row],[Last Name]]</f>
        <v>Chris Johnson</v>
      </c>
      <c r="K363" t="s">
        <v>46</v>
      </c>
      <c r="L363" s="5">
        <f>Table134[[#This Row],[Calls Reached]]/Table134[[#This Row],[Total Calls]]</f>
        <v>0.62244897959183676</v>
      </c>
      <c r="M363" s="5">
        <f>Table134[[#This Row],[Deals Closed]]/Table134[[#This Row],[Calls Reached]]</f>
        <v>0.14754098360655737</v>
      </c>
      <c r="N363" s="6">
        <f>IFERROR(Table134[[#This Row],[Deal Value ($)]]/Table134[[#This Row],[Deals Closed]],0)</f>
        <v>326.50602924473469</v>
      </c>
      <c r="O363" s="6">
        <f>Table134[[#This Row],[Deal Value ($)]]/Table134[[#This Row],[Total Calls]]</f>
        <v>29.985247583700126</v>
      </c>
      <c r="P363" t="str">
        <f>IF(Table134[[#This Row],[Conversion Rate]]&gt;=20%,"High","Low")</f>
        <v>Low</v>
      </c>
    </row>
    <row r="364" spans="1:16" x14ac:dyDescent="0.25">
      <c r="A364" s="2">
        <v>45517</v>
      </c>
      <c r="B364" s="2" t="str">
        <f>TEXT(Table134[[#This Row],[Date]],"MMM")</f>
        <v>Aug</v>
      </c>
      <c r="C364">
        <v>81</v>
      </c>
      <c r="D364">
        <v>25</v>
      </c>
      <c r="E364" s="3">
        <v>380.46898576769308</v>
      </c>
      <c r="F364">
        <v>4</v>
      </c>
      <c r="G364" s="6">
        <v>4428.2562614438384</v>
      </c>
      <c r="H364" t="s">
        <v>34</v>
      </c>
      <c r="I364" t="s">
        <v>44</v>
      </c>
      <c r="J364" t="str">
        <f>Table134[[#This Row],[First Name]]&amp;" "&amp;Table134[[#This Row],[Last Name]]</f>
        <v>Mimi Brown</v>
      </c>
      <c r="K364" t="s">
        <v>45</v>
      </c>
      <c r="L364" s="5">
        <f>Table134[[#This Row],[Calls Reached]]/Table134[[#This Row],[Total Calls]]</f>
        <v>0.30864197530864196</v>
      </c>
      <c r="M364" s="5">
        <f>Table134[[#This Row],[Deals Closed]]/Table134[[#This Row],[Calls Reached]]</f>
        <v>0.16</v>
      </c>
      <c r="N364" s="6">
        <f>IFERROR(Table134[[#This Row],[Deal Value ($)]]/Table134[[#This Row],[Deals Closed]],0)</f>
        <v>1107.0640653609596</v>
      </c>
      <c r="O364" s="6">
        <f>Table134[[#This Row],[Deal Value ($)]]/Table134[[#This Row],[Total Calls]]</f>
        <v>54.669830388195535</v>
      </c>
      <c r="P364" t="str">
        <f>IF(Table134[[#This Row],[Conversion Rate]]&gt;=20%,"High","Low")</f>
        <v>Low</v>
      </c>
    </row>
    <row r="365" spans="1:16" x14ac:dyDescent="0.25">
      <c r="A365" s="2">
        <v>45518</v>
      </c>
      <c r="B365" s="2" t="str">
        <f>TEXT(Table134[[#This Row],[Date]],"MMM")</f>
        <v>Aug</v>
      </c>
      <c r="C365">
        <v>53</v>
      </c>
      <c r="D365">
        <v>22</v>
      </c>
      <c r="E365" s="3">
        <v>538.32680132917244</v>
      </c>
      <c r="F365">
        <v>9</v>
      </c>
      <c r="G365" s="6">
        <v>3795.0119888430249</v>
      </c>
      <c r="H365" t="s">
        <v>12</v>
      </c>
      <c r="I365" t="s">
        <v>40</v>
      </c>
      <c r="J365" t="str">
        <f>Table134[[#This Row],[First Name]]&amp;" "&amp;Table134[[#This Row],[Last Name]]</f>
        <v>Jake Davis</v>
      </c>
      <c r="K365" t="s">
        <v>45</v>
      </c>
      <c r="L365" s="5">
        <f>Table134[[#This Row],[Calls Reached]]/Table134[[#This Row],[Total Calls]]</f>
        <v>0.41509433962264153</v>
      </c>
      <c r="M365" s="5">
        <f>Table134[[#This Row],[Deals Closed]]/Table134[[#This Row],[Calls Reached]]</f>
        <v>0.40909090909090912</v>
      </c>
      <c r="N365" s="6">
        <f>IFERROR(Table134[[#This Row],[Deal Value ($)]]/Table134[[#This Row],[Deals Closed]],0)</f>
        <v>421.6679987603361</v>
      </c>
      <c r="O365" s="6">
        <f>Table134[[#This Row],[Deal Value ($)]]/Table134[[#This Row],[Total Calls]]</f>
        <v>71.603999789491041</v>
      </c>
      <c r="P365" t="str">
        <f>IF(Table134[[#This Row],[Conversion Rate]]&gt;=20%,"High","Low")</f>
        <v>High</v>
      </c>
    </row>
    <row r="366" spans="1:16" x14ac:dyDescent="0.25">
      <c r="A366" s="2">
        <v>45519</v>
      </c>
      <c r="B366" s="2" t="str">
        <f>TEXT(Table134[[#This Row],[Date]],"MMM")</f>
        <v>Aug</v>
      </c>
      <c r="C366">
        <v>79</v>
      </c>
      <c r="D366">
        <v>39</v>
      </c>
      <c r="E366" s="3">
        <v>301.74143310619849</v>
      </c>
      <c r="F366">
        <v>32</v>
      </c>
      <c r="G366" s="6">
        <v>4129.5251653765235</v>
      </c>
      <c r="H366" t="s">
        <v>49</v>
      </c>
      <c r="I366" t="s">
        <v>40</v>
      </c>
      <c r="J366" t="str">
        <f>Table134[[#This Row],[First Name]]&amp;" "&amp;Table134[[#This Row],[Last Name]]</f>
        <v>Jane Davis</v>
      </c>
      <c r="K366" t="s">
        <v>46</v>
      </c>
      <c r="L366" s="5">
        <f>Table134[[#This Row],[Calls Reached]]/Table134[[#This Row],[Total Calls]]</f>
        <v>0.49367088607594939</v>
      </c>
      <c r="M366" s="5">
        <f>Table134[[#This Row],[Deals Closed]]/Table134[[#This Row],[Calls Reached]]</f>
        <v>0.82051282051282048</v>
      </c>
      <c r="N366" s="6">
        <f>IFERROR(Table134[[#This Row],[Deal Value ($)]]/Table134[[#This Row],[Deals Closed]],0)</f>
        <v>129.04766141801636</v>
      </c>
      <c r="O366" s="6">
        <f>Table134[[#This Row],[Deal Value ($)]]/Table134[[#This Row],[Total Calls]]</f>
        <v>52.272470447804096</v>
      </c>
      <c r="P366" t="str">
        <f>IF(Table134[[#This Row],[Conversion Rate]]&gt;=20%,"High","Low")</f>
        <v>High</v>
      </c>
    </row>
    <row r="367" spans="1:16" x14ac:dyDescent="0.25">
      <c r="A367" s="2">
        <v>45520</v>
      </c>
      <c r="B367" s="2" t="str">
        <f>TEXT(Table134[[#This Row],[Date]],"MMM")</f>
        <v>Aug</v>
      </c>
      <c r="C367">
        <v>86</v>
      </c>
      <c r="D367">
        <v>28</v>
      </c>
      <c r="E367" s="3">
        <v>167.0076142253204</v>
      </c>
      <c r="F367">
        <v>37</v>
      </c>
      <c r="G367" s="6">
        <v>3464.5251501982279</v>
      </c>
      <c r="H367" t="s">
        <v>47</v>
      </c>
      <c r="I367" t="s">
        <v>37</v>
      </c>
      <c r="J367" t="str">
        <f>Table134[[#This Row],[First Name]]&amp;" "&amp;Table134[[#This Row],[Last Name]]</f>
        <v>John Johnson</v>
      </c>
      <c r="K367" t="s">
        <v>45</v>
      </c>
      <c r="L367" s="5">
        <f>Table134[[#This Row],[Calls Reached]]/Table134[[#This Row],[Total Calls]]</f>
        <v>0.32558139534883723</v>
      </c>
      <c r="M367" s="5">
        <f>Table134[[#This Row],[Deals Closed]]/Table134[[#This Row],[Calls Reached]]</f>
        <v>1.3214285714285714</v>
      </c>
      <c r="N367" s="6">
        <f>IFERROR(Table134[[#This Row],[Deal Value ($)]]/Table134[[#This Row],[Deals Closed]],0)</f>
        <v>93.635814870222376</v>
      </c>
      <c r="O367" s="6">
        <f>Table134[[#This Row],[Deal Value ($)]]/Table134[[#This Row],[Total Calls]]</f>
        <v>40.28517616509567</v>
      </c>
      <c r="P367" t="str">
        <f>IF(Table134[[#This Row],[Conversion Rate]]&gt;=20%,"High","Low")</f>
        <v>High</v>
      </c>
    </row>
    <row r="368" spans="1:16" x14ac:dyDescent="0.25">
      <c r="A368" s="2">
        <v>45523</v>
      </c>
      <c r="B368" s="2" t="str">
        <f>TEXT(Table134[[#This Row],[Date]],"MMM")</f>
        <v>Aug</v>
      </c>
      <c r="C368">
        <v>72</v>
      </c>
      <c r="D368">
        <v>26</v>
      </c>
      <c r="E368" s="3">
        <v>114.39133815666951</v>
      </c>
      <c r="F368">
        <v>12</v>
      </c>
      <c r="G368" s="6">
        <v>3615.2445403303359</v>
      </c>
      <c r="H368" t="s">
        <v>10</v>
      </c>
      <c r="I368" t="s">
        <v>44</v>
      </c>
      <c r="J368" t="str">
        <f>Table134[[#This Row],[First Name]]&amp;" "&amp;Table134[[#This Row],[Last Name]]</f>
        <v>Alice Brown</v>
      </c>
      <c r="K368" t="s">
        <v>46</v>
      </c>
      <c r="L368" s="5">
        <f>Table134[[#This Row],[Calls Reached]]/Table134[[#This Row],[Total Calls]]</f>
        <v>0.3611111111111111</v>
      </c>
      <c r="M368" s="5">
        <f>Table134[[#This Row],[Deals Closed]]/Table134[[#This Row],[Calls Reached]]</f>
        <v>0.46153846153846156</v>
      </c>
      <c r="N368" s="6">
        <f>IFERROR(Table134[[#This Row],[Deal Value ($)]]/Table134[[#This Row],[Deals Closed]],0)</f>
        <v>301.27037836086134</v>
      </c>
      <c r="O368" s="6">
        <f>Table134[[#This Row],[Deal Value ($)]]/Table134[[#This Row],[Total Calls]]</f>
        <v>50.211729726810219</v>
      </c>
      <c r="P368" t="str">
        <f>IF(Table134[[#This Row],[Conversion Rate]]&gt;=20%,"High","Low")</f>
        <v>High</v>
      </c>
    </row>
    <row r="369" spans="1:16" x14ac:dyDescent="0.25">
      <c r="A369" s="2">
        <v>45524</v>
      </c>
      <c r="B369" s="2" t="str">
        <f>TEXT(Table134[[#This Row],[Date]],"MMM")</f>
        <v>Aug</v>
      </c>
      <c r="C369">
        <v>88</v>
      </c>
      <c r="D369">
        <v>72</v>
      </c>
      <c r="E369" s="3">
        <v>477.56862783680953</v>
      </c>
      <c r="F369">
        <v>30</v>
      </c>
      <c r="G369" s="6">
        <v>4321.3804320439367</v>
      </c>
      <c r="H369" t="s">
        <v>49</v>
      </c>
      <c r="I369" t="s">
        <v>42</v>
      </c>
      <c r="J369" t="str">
        <f>Table134[[#This Row],[First Name]]&amp;" "&amp;Table134[[#This Row],[Last Name]]</f>
        <v>Jane Martinez</v>
      </c>
      <c r="K369" t="s">
        <v>46</v>
      </c>
      <c r="L369" s="5">
        <f>Table134[[#This Row],[Calls Reached]]/Table134[[#This Row],[Total Calls]]</f>
        <v>0.81818181818181823</v>
      </c>
      <c r="M369" s="5">
        <f>Table134[[#This Row],[Deals Closed]]/Table134[[#This Row],[Calls Reached]]</f>
        <v>0.41666666666666669</v>
      </c>
      <c r="N369" s="6">
        <f>IFERROR(Table134[[#This Row],[Deal Value ($)]]/Table134[[#This Row],[Deals Closed]],0)</f>
        <v>144.04601440146456</v>
      </c>
      <c r="O369" s="6">
        <f>Table134[[#This Row],[Deal Value ($)]]/Table134[[#This Row],[Total Calls]]</f>
        <v>49.1065958186811</v>
      </c>
      <c r="P369" t="str">
        <f>IF(Table134[[#This Row],[Conversion Rate]]&gt;=20%,"High","Low")</f>
        <v>High</v>
      </c>
    </row>
    <row r="370" spans="1:16" x14ac:dyDescent="0.25">
      <c r="A370" s="2">
        <v>45525</v>
      </c>
      <c r="B370" s="2" t="str">
        <f>TEXT(Table134[[#This Row],[Date]],"MMM")</f>
        <v>Aug</v>
      </c>
      <c r="C370">
        <v>94</v>
      </c>
      <c r="D370">
        <v>28</v>
      </c>
      <c r="E370" s="3">
        <v>410.15477567673241</v>
      </c>
      <c r="F370">
        <v>35</v>
      </c>
      <c r="G370" s="6">
        <v>1623.506039866337</v>
      </c>
      <c r="H370" t="s">
        <v>12</v>
      </c>
      <c r="I370" t="s">
        <v>44</v>
      </c>
      <c r="J370" t="str">
        <f>Table134[[#This Row],[First Name]]&amp;" "&amp;Table134[[#This Row],[Last Name]]</f>
        <v>Jake Brown</v>
      </c>
      <c r="K370" t="s">
        <v>46</v>
      </c>
      <c r="L370" s="5">
        <f>Table134[[#This Row],[Calls Reached]]/Table134[[#This Row],[Total Calls]]</f>
        <v>0.2978723404255319</v>
      </c>
      <c r="M370" s="5">
        <f>Table134[[#This Row],[Deals Closed]]/Table134[[#This Row],[Calls Reached]]</f>
        <v>1.25</v>
      </c>
      <c r="N370" s="6">
        <f>IFERROR(Table134[[#This Row],[Deal Value ($)]]/Table134[[#This Row],[Deals Closed]],0)</f>
        <v>46.385886853323917</v>
      </c>
      <c r="O370" s="6">
        <f>Table134[[#This Row],[Deal Value ($)]]/Table134[[#This Row],[Total Calls]]</f>
        <v>17.271340849641884</v>
      </c>
      <c r="P370" t="str">
        <f>IF(Table134[[#This Row],[Conversion Rate]]&gt;=20%,"High","Low")</f>
        <v>High</v>
      </c>
    </row>
    <row r="371" spans="1:16" x14ac:dyDescent="0.25">
      <c r="A371" s="2">
        <v>45526</v>
      </c>
      <c r="B371" s="2" t="str">
        <f>TEXT(Table134[[#This Row],[Date]],"MMM")</f>
        <v>Aug</v>
      </c>
      <c r="C371">
        <v>64</v>
      </c>
      <c r="D371">
        <v>67</v>
      </c>
      <c r="E371" s="3">
        <v>452.03988404961183</v>
      </c>
      <c r="F371">
        <v>23</v>
      </c>
      <c r="G371" s="6">
        <v>2702.4123363941321</v>
      </c>
      <c r="H371" t="s">
        <v>48</v>
      </c>
      <c r="I371" t="s">
        <v>42</v>
      </c>
      <c r="J371" t="str">
        <f>Table134[[#This Row],[First Name]]&amp;" "&amp;Table134[[#This Row],[Last Name]]</f>
        <v>Anna Martinez</v>
      </c>
      <c r="K371" t="s">
        <v>45</v>
      </c>
      <c r="L371" s="5">
        <f>Table134[[#This Row],[Calls Reached]]/Table134[[#This Row],[Total Calls]]</f>
        <v>1.046875</v>
      </c>
      <c r="M371" s="5">
        <f>Table134[[#This Row],[Deals Closed]]/Table134[[#This Row],[Calls Reached]]</f>
        <v>0.34328358208955223</v>
      </c>
      <c r="N371" s="6">
        <f>IFERROR(Table134[[#This Row],[Deal Value ($)]]/Table134[[#This Row],[Deals Closed]],0)</f>
        <v>117.49618853887532</v>
      </c>
      <c r="O371" s="6">
        <f>Table134[[#This Row],[Deal Value ($)]]/Table134[[#This Row],[Total Calls]]</f>
        <v>42.225192756158314</v>
      </c>
      <c r="P371" t="str">
        <f>IF(Table134[[#This Row],[Conversion Rate]]&gt;=20%,"High","Low")</f>
        <v>High</v>
      </c>
    </row>
    <row r="372" spans="1:16" x14ac:dyDescent="0.25">
      <c r="A372" s="2">
        <v>45527</v>
      </c>
      <c r="B372" s="2" t="str">
        <f>TEXT(Table134[[#This Row],[Date]],"MMM")</f>
        <v>Aug</v>
      </c>
      <c r="C372">
        <v>92</v>
      </c>
      <c r="D372">
        <v>64</v>
      </c>
      <c r="E372" s="3">
        <v>206.48208075445541</v>
      </c>
      <c r="F372">
        <v>14</v>
      </c>
      <c r="G372" s="6">
        <v>1495.4424881882101</v>
      </c>
      <c r="H372" t="s">
        <v>48</v>
      </c>
      <c r="I372" t="s">
        <v>38</v>
      </c>
      <c r="J372" t="str">
        <f>Table134[[#This Row],[First Name]]&amp;" "&amp;Table134[[#This Row],[Last Name]]</f>
        <v>Anna Rodriguez</v>
      </c>
      <c r="K372" t="s">
        <v>46</v>
      </c>
      <c r="L372" s="5">
        <f>Table134[[#This Row],[Calls Reached]]/Table134[[#This Row],[Total Calls]]</f>
        <v>0.69565217391304346</v>
      </c>
      <c r="M372" s="5">
        <f>Table134[[#This Row],[Deals Closed]]/Table134[[#This Row],[Calls Reached]]</f>
        <v>0.21875</v>
      </c>
      <c r="N372" s="6">
        <f>IFERROR(Table134[[#This Row],[Deal Value ($)]]/Table134[[#This Row],[Deals Closed]],0)</f>
        <v>106.81732058487215</v>
      </c>
      <c r="O372" s="6">
        <f>Table134[[#This Row],[Deal Value ($)]]/Table134[[#This Row],[Total Calls]]</f>
        <v>16.254809654219674</v>
      </c>
      <c r="P372" t="str">
        <f>IF(Table134[[#This Row],[Conversion Rate]]&gt;=20%,"High","Low")</f>
        <v>High</v>
      </c>
    </row>
    <row r="373" spans="1:16" x14ac:dyDescent="0.25">
      <c r="A373" s="2">
        <v>45530</v>
      </c>
      <c r="B373" s="2" t="str">
        <f>TEXT(Table134[[#This Row],[Date]],"MMM")</f>
        <v>Aug</v>
      </c>
      <c r="C373">
        <v>78</v>
      </c>
      <c r="D373">
        <v>71</v>
      </c>
      <c r="E373" s="3">
        <v>168.1857377933849</v>
      </c>
      <c r="F373">
        <v>28</v>
      </c>
      <c r="G373" s="6">
        <v>4944.5060359849113</v>
      </c>
      <c r="H373" t="s">
        <v>12</v>
      </c>
      <c r="I373" t="s">
        <v>43</v>
      </c>
      <c r="J373" t="str">
        <f>Table134[[#This Row],[First Name]]&amp;" "&amp;Table134[[#This Row],[Last Name]]</f>
        <v>Jake Williams</v>
      </c>
      <c r="K373" t="s">
        <v>46</v>
      </c>
      <c r="L373" s="5">
        <f>Table134[[#This Row],[Calls Reached]]/Table134[[#This Row],[Total Calls]]</f>
        <v>0.91025641025641024</v>
      </c>
      <c r="M373" s="5">
        <f>Table134[[#This Row],[Deals Closed]]/Table134[[#This Row],[Calls Reached]]</f>
        <v>0.39436619718309857</v>
      </c>
      <c r="N373" s="6">
        <f>IFERROR(Table134[[#This Row],[Deal Value ($)]]/Table134[[#This Row],[Deals Closed]],0)</f>
        <v>176.5895012851754</v>
      </c>
      <c r="O373" s="6">
        <f>Table134[[#This Row],[Deal Value ($)]]/Table134[[#This Row],[Total Calls]]</f>
        <v>63.391103025447578</v>
      </c>
      <c r="P373" t="str">
        <f>IF(Table134[[#This Row],[Conversion Rate]]&gt;=20%,"High","Low")</f>
        <v>High</v>
      </c>
    </row>
    <row r="374" spans="1:16" x14ac:dyDescent="0.25">
      <c r="A374" s="2">
        <v>45531</v>
      </c>
      <c r="B374" s="2" t="str">
        <f>TEXT(Table134[[#This Row],[Date]],"MMM")</f>
        <v>Aug</v>
      </c>
      <c r="C374">
        <v>85</v>
      </c>
      <c r="D374">
        <v>32</v>
      </c>
      <c r="E374" s="3">
        <v>107.27233283394099</v>
      </c>
      <c r="F374">
        <v>7</v>
      </c>
      <c r="G374" s="6">
        <v>4748.2670285897593</v>
      </c>
      <c r="H374" t="s">
        <v>34</v>
      </c>
      <c r="I374" t="s">
        <v>38</v>
      </c>
      <c r="J374" t="str">
        <f>Table134[[#This Row],[First Name]]&amp;" "&amp;Table134[[#This Row],[Last Name]]</f>
        <v>Mimi Rodriguez</v>
      </c>
      <c r="K374" t="s">
        <v>45</v>
      </c>
      <c r="L374" s="5">
        <f>Table134[[#This Row],[Calls Reached]]/Table134[[#This Row],[Total Calls]]</f>
        <v>0.37647058823529411</v>
      </c>
      <c r="M374" s="5">
        <f>Table134[[#This Row],[Deals Closed]]/Table134[[#This Row],[Calls Reached]]</f>
        <v>0.21875</v>
      </c>
      <c r="N374" s="6">
        <f>IFERROR(Table134[[#This Row],[Deal Value ($)]]/Table134[[#This Row],[Deals Closed]],0)</f>
        <v>678.32386122710852</v>
      </c>
      <c r="O374" s="6">
        <f>Table134[[#This Row],[Deal Value ($)]]/Table134[[#This Row],[Total Calls]]</f>
        <v>55.861965042232463</v>
      </c>
      <c r="P374" t="str">
        <f>IF(Table134[[#This Row],[Conversion Rate]]&gt;=20%,"High","Low")</f>
        <v>High</v>
      </c>
    </row>
    <row r="375" spans="1:16" x14ac:dyDescent="0.25">
      <c r="A375" s="2">
        <v>45532</v>
      </c>
      <c r="B375" s="2" t="str">
        <f>TEXT(Table134[[#This Row],[Date]],"MMM")</f>
        <v>Aug</v>
      </c>
      <c r="C375">
        <v>62</v>
      </c>
      <c r="D375">
        <v>18</v>
      </c>
      <c r="E375" s="3">
        <v>275.29377940329852</v>
      </c>
      <c r="F375">
        <v>4</v>
      </c>
      <c r="G375" s="6">
        <v>677.42065115827654</v>
      </c>
      <c r="H375" t="s">
        <v>9</v>
      </c>
      <c r="I375" t="s">
        <v>38</v>
      </c>
      <c r="J375" t="str">
        <f>Table134[[#This Row],[First Name]]&amp;" "&amp;Table134[[#This Row],[Last Name]]</f>
        <v>Evan Rodriguez</v>
      </c>
      <c r="K375" t="s">
        <v>46</v>
      </c>
      <c r="L375" s="5">
        <f>Table134[[#This Row],[Calls Reached]]/Table134[[#This Row],[Total Calls]]</f>
        <v>0.29032258064516131</v>
      </c>
      <c r="M375" s="5">
        <f>Table134[[#This Row],[Deals Closed]]/Table134[[#This Row],[Calls Reached]]</f>
        <v>0.22222222222222221</v>
      </c>
      <c r="N375" s="6">
        <f>IFERROR(Table134[[#This Row],[Deal Value ($)]]/Table134[[#This Row],[Deals Closed]],0)</f>
        <v>169.35516278956914</v>
      </c>
      <c r="O375" s="6">
        <f>Table134[[#This Row],[Deal Value ($)]]/Table134[[#This Row],[Total Calls]]</f>
        <v>10.926139534810911</v>
      </c>
      <c r="P375" t="str">
        <f>IF(Table134[[#This Row],[Conversion Rate]]&gt;=20%,"High","Low")</f>
        <v>High</v>
      </c>
    </row>
    <row r="376" spans="1:16" x14ac:dyDescent="0.25">
      <c r="A376" s="2">
        <v>45533</v>
      </c>
      <c r="B376" s="2" t="str">
        <f>TEXT(Table134[[#This Row],[Date]],"MMM")</f>
        <v>Aug</v>
      </c>
      <c r="C376">
        <v>81</v>
      </c>
      <c r="D376">
        <v>21</v>
      </c>
      <c r="E376" s="3">
        <v>394.95884342731648</v>
      </c>
      <c r="F376">
        <v>28</v>
      </c>
      <c r="G376" s="6">
        <v>3675.0882763205982</v>
      </c>
      <c r="H376" t="s">
        <v>9</v>
      </c>
      <c r="I376" t="s">
        <v>43</v>
      </c>
      <c r="J376" t="str">
        <f>Table134[[#This Row],[First Name]]&amp;" "&amp;Table134[[#This Row],[Last Name]]</f>
        <v>Evan Williams</v>
      </c>
      <c r="K376" t="s">
        <v>46</v>
      </c>
      <c r="L376" s="5">
        <f>Table134[[#This Row],[Calls Reached]]/Table134[[#This Row],[Total Calls]]</f>
        <v>0.25925925925925924</v>
      </c>
      <c r="M376" s="5">
        <f>Table134[[#This Row],[Deals Closed]]/Table134[[#This Row],[Calls Reached]]</f>
        <v>1.3333333333333333</v>
      </c>
      <c r="N376" s="6">
        <f>IFERROR(Table134[[#This Row],[Deal Value ($)]]/Table134[[#This Row],[Deals Closed]],0)</f>
        <v>131.25315272573565</v>
      </c>
      <c r="O376" s="6">
        <f>Table134[[#This Row],[Deal Value ($)]]/Table134[[#This Row],[Total Calls]]</f>
        <v>45.371460201488865</v>
      </c>
      <c r="P376" t="str">
        <f>IF(Table134[[#This Row],[Conversion Rate]]&gt;=20%,"High","Low")</f>
        <v>High</v>
      </c>
    </row>
    <row r="377" spans="1:16" x14ac:dyDescent="0.25">
      <c r="A377" s="2">
        <v>45534</v>
      </c>
      <c r="B377" s="2" t="str">
        <f>TEXT(Table134[[#This Row],[Date]],"MMM")</f>
        <v>Aug</v>
      </c>
      <c r="C377">
        <v>56</v>
      </c>
      <c r="D377">
        <v>10</v>
      </c>
      <c r="E377" s="3">
        <v>296.12202254986619</v>
      </c>
      <c r="F377">
        <v>3</v>
      </c>
      <c r="G377" s="6">
        <v>4663.6174283704959</v>
      </c>
      <c r="H377" t="s">
        <v>34</v>
      </c>
      <c r="I377" t="s">
        <v>44</v>
      </c>
      <c r="J377" t="str">
        <f>Table134[[#This Row],[First Name]]&amp;" "&amp;Table134[[#This Row],[Last Name]]</f>
        <v>Mimi Brown</v>
      </c>
      <c r="K377" t="s">
        <v>46</v>
      </c>
      <c r="L377" s="5">
        <f>Table134[[#This Row],[Calls Reached]]/Table134[[#This Row],[Total Calls]]</f>
        <v>0.17857142857142858</v>
      </c>
      <c r="M377" s="5">
        <f>Table134[[#This Row],[Deals Closed]]/Table134[[#This Row],[Calls Reached]]</f>
        <v>0.3</v>
      </c>
      <c r="N377" s="6">
        <f>IFERROR(Table134[[#This Row],[Deal Value ($)]]/Table134[[#This Row],[Deals Closed]],0)</f>
        <v>1554.5391427901652</v>
      </c>
      <c r="O377" s="6">
        <f>Table134[[#This Row],[Deal Value ($)]]/Table134[[#This Row],[Total Calls]]</f>
        <v>83.278882649473147</v>
      </c>
      <c r="P377" t="str">
        <f>IF(Table134[[#This Row],[Conversion Rate]]&gt;=20%,"High","Low")</f>
        <v>High</v>
      </c>
    </row>
    <row r="378" spans="1:16" x14ac:dyDescent="0.25">
      <c r="A378" s="2">
        <v>45536</v>
      </c>
      <c r="B378" s="2" t="str">
        <f>TEXT(Table134[[#This Row],[Date]],"MMM")</f>
        <v>Sep</v>
      </c>
      <c r="C378">
        <v>37</v>
      </c>
      <c r="D378">
        <v>8</v>
      </c>
      <c r="E378" s="3">
        <v>215.09</v>
      </c>
      <c r="F378">
        <v>2</v>
      </c>
      <c r="G378" s="6">
        <v>3424.83</v>
      </c>
      <c r="H378" t="s">
        <v>22</v>
      </c>
      <c r="I378" t="s">
        <v>41</v>
      </c>
      <c r="J378" t="str">
        <f>Table134[[#This Row],[First Name]]&amp;" "&amp;Table134[[#This Row],[Last Name]]</f>
        <v>Ian Miller</v>
      </c>
      <c r="K378" t="s">
        <v>45</v>
      </c>
      <c r="L378" s="5">
        <f>Table134[[#This Row],[Calls Reached]]/Table134[[#This Row],[Total Calls]]</f>
        <v>0.21621621621621623</v>
      </c>
      <c r="M378" s="5">
        <f>Table134[[#This Row],[Deals Closed]]/Table134[[#This Row],[Calls Reached]]</f>
        <v>0.25</v>
      </c>
      <c r="N378" s="6">
        <f>IFERROR(Table134[[#This Row],[Deal Value ($)]]/Table134[[#This Row],[Deals Closed]],0)</f>
        <v>1712.415</v>
      </c>
      <c r="O378" s="6">
        <f>Table134[[#This Row],[Deal Value ($)]]/Table134[[#This Row],[Total Calls]]</f>
        <v>92.562972972972972</v>
      </c>
      <c r="P378" t="str">
        <f>IF(Table134[[#This Row],[Conversion Rate]]&gt;=20%,"High","Low")</f>
        <v>High</v>
      </c>
    </row>
    <row r="379" spans="1:16" x14ac:dyDescent="0.25">
      <c r="A379" s="2">
        <v>45536</v>
      </c>
      <c r="B379" s="2" t="str">
        <f>TEXT(Table134[[#This Row],[Date]],"MMM")</f>
        <v>Sep</v>
      </c>
      <c r="C379">
        <v>87</v>
      </c>
      <c r="D379">
        <v>21</v>
      </c>
      <c r="E379" s="3">
        <v>633.13</v>
      </c>
      <c r="F379">
        <v>2</v>
      </c>
      <c r="G379" s="6">
        <v>336.22</v>
      </c>
      <c r="H379" t="s">
        <v>21</v>
      </c>
      <c r="I379" t="s">
        <v>42</v>
      </c>
      <c r="J379" t="str">
        <f>Table134[[#This Row],[First Name]]&amp;" "&amp;Table134[[#This Row],[Last Name]]</f>
        <v>Paul Martinez</v>
      </c>
      <c r="K379" t="s">
        <v>46</v>
      </c>
      <c r="L379" s="5">
        <f>Table134[[#This Row],[Calls Reached]]/Table134[[#This Row],[Total Calls]]</f>
        <v>0.2413793103448276</v>
      </c>
      <c r="M379" s="5">
        <f>Table134[[#This Row],[Deals Closed]]/Table134[[#This Row],[Calls Reached]]</f>
        <v>9.5238095238095233E-2</v>
      </c>
      <c r="N379" s="6">
        <f>IFERROR(Table134[[#This Row],[Deal Value ($)]]/Table134[[#This Row],[Deals Closed]],0)</f>
        <v>168.11</v>
      </c>
      <c r="O379" s="6">
        <f>Table134[[#This Row],[Deal Value ($)]]/Table134[[#This Row],[Total Calls]]</f>
        <v>3.8645977011494255</v>
      </c>
      <c r="P379" t="str">
        <f>IF(Table134[[#This Row],[Conversion Rate]]&gt;=20%,"High","Low")</f>
        <v>Low</v>
      </c>
    </row>
    <row r="380" spans="1:16" x14ac:dyDescent="0.25">
      <c r="A380" s="2">
        <v>45536</v>
      </c>
      <c r="B380" s="2" t="str">
        <f>TEXT(Table134[[#This Row],[Date]],"MMM")</f>
        <v>Sep</v>
      </c>
      <c r="C380">
        <v>38</v>
      </c>
      <c r="D380">
        <v>6</v>
      </c>
      <c r="E380" s="3">
        <v>553.89</v>
      </c>
      <c r="F380">
        <v>6</v>
      </c>
      <c r="G380" s="6">
        <v>4013.79</v>
      </c>
      <c r="H380" t="s">
        <v>20</v>
      </c>
      <c r="I380" t="s">
        <v>44</v>
      </c>
      <c r="J380" t="str">
        <f>Table134[[#This Row],[First Name]]&amp;" "&amp;Table134[[#This Row],[Last Name]]</f>
        <v>Richard Brown</v>
      </c>
      <c r="K380" t="s">
        <v>46</v>
      </c>
      <c r="L380" s="5">
        <f>Table134[[#This Row],[Calls Reached]]/Table134[[#This Row],[Total Calls]]</f>
        <v>0.15789473684210525</v>
      </c>
      <c r="M380" s="5">
        <f>Table134[[#This Row],[Deals Closed]]/Table134[[#This Row],[Calls Reached]]</f>
        <v>1</v>
      </c>
      <c r="N380" s="6">
        <f>IFERROR(Table134[[#This Row],[Deal Value ($)]]/Table134[[#This Row],[Deals Closed]],0)</f>
        <v>668.96500000000003</v>
      </c>
      <c r="O380" s="6">
        <f>Table134[[#This Row],[Deal Value ($)]]/Table134[[#This Row],[Total Calls]]</f>
        <v>105.62605263157894</v>
      </c>
      <c r="P380" t="str">
        <f>IF(Table134[[#This Row],[Conversion Rate]]&gt;=20%,"High","Low")</f>
        <v>High</v>
      </c>
    </row>
    <row r="381" spans="1:16" x14ac:dyDescent="0.25">
      <c r="A381" s="2">
        <v>45536</v>
      </c>
      <c r="B381" s="2" t="str">
        <f>TEXT(Table134[[#This Row],[Date]],"MMM")</f>
        <v>Sep</v>
      </c>
      <c r="C381">
        <v>22</v>
      </c>
      <c r="D381">
        <v>7</v>
      </c>
      <c r="E381" s="3">
        <v>182.47</v>
      </c>
      <c r="F381">
        <v>7</v>
      </c>
      <c r="G381" s="6">
        <v>779.86</v>
      </c>
      <c r="H381" t="s">
        <v>19</v>
      </c>
      <c r="I381" t="s">
        <v>36</v>
      </c>
      <c r="J381" t="str">
        <f>Table134[[#This Row],[First Name]]&amp;" "&amp;Table134[[#This Row],[Last Name]]</f>
        <v>James Smith</v>
      </c>
      <c r="K381" t="s">
        <v>46</v>
      </c>
      <c r="L381" s="5">
        <f>Table134[[#This Row],[Calls Reached]]/Table134[[#This Row],[Total Calls]]</f>
        <v>0.31818181818181818</v>
      </c>
      <c r="M381" s="5">
        <f>Table134[[#This Row],[Deals Closed]]/Table134[[#This Row],[Calls Reached]]</f>
        <v>1</v>
      </c>
      <c r="N381" s="6">
        <f>IFERROR(Table134[[#This Row],[Deal Value ($)]]/Table134[[#This Row],[Deals Closed]],0)</f>
        <v>111.40857142857143</v>
      </c>
      <c r="O381" s="6">
        <f>Table134[[#This Row],[Deal Value ($)]]/Table134[[#This Row],[Total Calls]]</f>
        <v>35.448181818181816</v>
      </c>
      <c r="P381" t="str">
        <f>IF(Table134[[#This Row],[Conversion Rate]]&gt;=20%,"High","Low")</f>
        <v>High</v>
      </c>
    </row>
    <row r="382" spans="1:16" x14ac:dyDescent="0.25">
      <c r="A382" s="2">
        <v>45536</v>
      </c>
      <c r="B382" s="2" t="str">
        <f>TEXT(Table134[[#This Row],[Date]],"MMM")</f>
        <v>Sep</v>
      </c>
      <c r="C382">
        <v>57</v>
      </c>
      <c r="D382">
        <v>7</v>
      </c>
      <c r="E382" s="3">
        <v>262.27999999999997</v>
      </c>
      <c r="F382">
        <v>7</v>
      </c>
      <c r="G382" s="6">
        <v>3929.11</v>
      </c>
      <c r="H382" t="s">
        <v>16</v>
      </c>
      <c r="I382" t="s">
        <v>36</v>
      </c>
      <c r="J382" t="str">
        <f>Table134[[#This Row],[First Name]]&amp;" "&amp;Table134[[#This Row],[Last Name]]</f>
        <v>Charlie Smith</v>
      </c>
      <c r="K382" t="s">
        <v>46</v>
      </c>
      <c r="L382" s="5">
        <f>Table134[[#This Row],[Calls Reached]]/Table134[[#This Row],[Total Calls]]</f>
        <v>0.12280701754385964</v>
      </c>
      <c r="M382" s="5">
        <f>Table134[[#This Row],[Deals Closed]]/Table134[[#This Row],[Calls Reached]]</f>
        <v>1</v>
      </c>
      <c r="N382" s="6">
        <f>IFERROR(Table134[[#This Row],[Deal Value ($)]]/Table134[[#This Row],[Deals Closed]],0)</f>
        <v>561.30142857142857</v>
      </c>
      <c r="O382" s="6">
        <f>Table134[[#This Row],[Deal Value ($)]]/Table134[[#This Row],[Total Calls]]</f>
        <v>68.931754385964908</v>
      </c>
      <c r="P382" t="str">
        <f>IF(Table134[[#This Row],[Conversion Rate]]&gt;=20%,"High","Low")</f>
        <v>High</v>
      </c>
    </row>
    <row r="383" spans="1:16" x14ac:dyDescent="0.25">
      <c r="A383" s="2">
        <v>45536</v>
      </c>
      <c r="B383" s="2" t="str">
        <f>TEXT(Table134[[#This Row],[Date]],"MMM")</f>
        <v>Sep</v>
      </c>
      <c r="C383">
        <v>26</v>
      </c>
      <c r="D383">
        <v>21</v>
      </c>
      <c r="E383" s="3">
        <v>359.51</v>
      </c>
      <c r="F383">
        <v>9</v>
      </c>
      <c r="G383" s="6">
        <v>1187.3699999999999</v>
      </c>
      <c r="H383" t="s">
        <v>17</v>
      </c>
      <c r="I383" t="s">
        <v>43</v>
      </c>
      <c r="J383" t="str">
        <f>Table134[[#This Row],[First Name]]&amp;" "&amp;Table134[[#This Row],[Last Name]]</f>
        <v>Molly Williams</v>
      </c>
      <c r="K383" t="s">
        <v>45</v>
      </c>
      <c r="L383" s="5">
        <f>Table134[[#This Row],[Calls Reached]]/Table134[[#This Row],[Total Calls]]</f>
        <v>0.80769230769230771</v>
      </c>
      <c r="M383" s="5">
        <f>Table134[[#This Row],[Deals Closed]]/Table134[[#This Row],[Calls Reached]]</f>
        <v>0.42857142857142855</v>
      </c>
      <c r="N383" s="6">
        <f>IFERROR(Table134[[#This Row],[Deal Value ($)]]/Table134[[#This Row],[Deals Closed]],0)</f>
        <v>131.92999999999998</v>
      </c>
      <c r="O383" s="6">
        <f>Table134[[#This Row],[Deal Value ($)]]/Table134[[#This Row],[Total Calls]]</f>
        <v>45.668076923076917</v>
      </c>
      <c r="P383" t="str">
        <f>IF(Table134[[#This Row],[Conversion Rate]]&gt;=20%,"High","Low")</f>
        <v>High</v>
      </c>
    </row>
    <row r="384" spans="1:16" x14ac:dyDescent="0.25">
      <c r="A384" s="2">
        <v>45536</v>
      </c>
      <c r="B384" s="2" t="str">
        <f>TEXT(Table134[[#This Row],[Date]],"MMM")</f>
        <v>Sep</v>
      </c>
      <c r="C384">
        <v>71</v>
      </c>
      <c r="D384">
        <v>8</v>
      </c>
      <c r="E384" s="3">
        <v>199.19</v>
      </c>
      <c r="F384">
        <v>2</v>
      </c>
      <c r="G384" s="6">
        <v>635.24</v>
      </c>
      <c r="H384" t="s">
        <v>23</v>
      </c>
      <c r="I384" t="s">
        <v>35</v>
      </c>
      <c r="J384" t="str">
        <f>Table134[[#This Row],[First Name]]&amp;" "&amp;Table134[[#This Row],[Last Name]]</f>
        <v>Melissa Garcia</v>
      </c>
      <c r="K384" t="s">
        <v>46</v>
      </c>
      <c r="L384" s="5">
        <f>Table134[[#This Row],[Calls Reached]]/Table134[[#This Row],[Total Calls]]</f>
        <v>0.11267605633802817</v>
      </c>
      <c r="M384" s="5">
        <f>Table134[[#This Row],[Deals Closed]]/Table134[[#This Row],[Calls Reached]]</f>
        <v>0.25</v>
      </c>
      <c r="N384" s="6">
        <f>IFERROR(Table134[[#This Row],[Deal Value ($)]]/Table134[[#This Row],[Deals Closed]],0)</f>
        <v>317.62</v>
      </c>
      <c r="O384" s="6">
        <f>Table134[[#This Row],[Deal Value ($)]]/Table134[[#This Row],[Total Calls]]</f>
        <v>8.9470422535211274</v>
      </c>
      <c r="P384" t="str">
        <f>IF(Table134[[#This Row],[Conversion Rate]]&gt;=20%,"High","Low")</f>
        <v>High</v>
      </c>
    </row>
    <row r="385" spans="1:16" x14ac:dyDescent="0.25">
      <c r="A385" s="2">
        <v>45536</v>
      </c>
      <c r="B385" s="2" t="str">
        <f>TEXT(Table134[[#This Row],[Date]],"MMM")</f>
        <v>Sep</v>
      </c>
      <c r="C385">
        <v>74</v>
      </c>
      <c r="D385">
        <v>18</v>
      </c>
      <c r="E385" s="3">
        <v>306.89999999999998</v>
      </c>
      <c r="F385">
        <v>3</v>
      </c>
      <c r="G385" s="6">
        <v>2254.16</v>
      </c>
      <c r="H385" t="s">
        <v>15</v>
      </c>
      <c r="I385" t="s">
        <v>38</v>
      </c>
      <c r="J385" t="str">
        <f>Table134[[#This Row],[First Name]]&amp;" "&amp;Table134[[#This Row],[Last Name]]</f>
        <v>Rick Rodriguez</v>
      </c>
      <c r="K385" t="s">
        <v>46</v>
      </c>
      <c r="L385" s="5">
        <f>Table134[[#This Row],[Calls Reached]]/Table134[[#This Row],[Total Calls]]</f>
        <v>0.24324324324324326</v>
      </c>
      <c r="M385" s="5">
        <f>Table134[[#This Row],[Deals Closed]]/Table134[[#This Row],[Calls Reached]]</f>
        <v>0.16666666666666666</v>
      </c>
      <c r="N385" s="6">
        <f>IFERROR(Table134[[#This Row],[Deal Value ($)]]/Table134[[#This Row],[Deals Closed]],0)</f>
        <v>751.38666666666666</v>
      </c>
      <c r="O385" s="6">
        <f>Table134[[#This Row],[Deal Value ($)]]/Table134[[#This Row],[Total Calls]]</f>
        <v>30.461621621621621</v>
      </c>
      <c r="P385" t="str">
        <f>IF(Table134[[#This Row],[Conversion Rate]]&gt;=20%,"High","Low")</f>
        <v>Low</v>
      </c>
    </row>
    <row r="386" spans="1:16" x14ac:dyDescent="0.25">
      <c r="A386" s="2">
        <v>45536</v>
      </c>
      <c r="B386" s="2" t="str">
        <f>TEXT(Table134[[#This Row],[Date]],"MMM")</f>
        <v>Sep</v>
      </c>
      <c r="C386">
        <v>76</v>
      </c>
      <c r="D386">
        <v>18</v>
      </c>
      <c r="E386" s="3">
        <v>339.1</v>
      </c>
      <c r="F386">
        <v>8</v>
      </c>
      <c r="G386" s="6">
        <v>924.79</v>
      </c>
      <c r="H386" t="s">
        <v>18</v>
      </c>
      <c r="I386" t="s">
        <v>39</v>
      </c>
      <c r="J386" t="str">
        <f>Table134[[#This Row],[First Name]]&amp;" "&amp;Table134[[#This Row],[Last Name]]</f>
        <v>Chris Jones</v>
      </c>
      <c r="K386" t="s">
        <v>45</v>
      </c>
      <c r="L386" s="5">
        <f>Table134[[#This Row],[Calls Reached]]/Table134[[#This Row],[Total Calls]]</f>
        <v>0.23684210526315788</v>
      </c>
      <c r="M386" s="5">
        <f>Table134[[#This Row],[Deals Closed]]/Table134[[#This Row],[Calls Reached]]</f>
        <v>0.44444444444444442</v>
      </c>
      <c r="N386" s="6">
        <f>IFERROR(Table134[[#This Row],[Deal Value ($)]]/Table134[[#This Row],[Deals Closed]],0)</f>
        <v>115.59875</v>
      </c>
      <c r="O386" s="6">
        <f>Table134[[#This Row],[Deal Value ($)]]/Table134[[#This Row],[Total Calls]]</f>
        <v>12.16828947368421</v>
      </c>
      <c r="P386" t="str">
        <f>IF(Table134[[#This Row],[Conversion Rate]]&gt;=20%,"High","Low")</f>
        <v>High</v>
      </c>
    </row>
    <row r="387" spans="1:16" x14ac:dyDescent="0.25">
      <c r="A387" s="2">
        <v>45536</v>
      </c>
      <c r="B387" s="2" t="str">
        <f>TEXT(Table134[[#This Row],[Date]],"MMM")</f>
        <v>Sep</v>
      </c>
      <c r="C387">
        <v>81</v>
      </c>
      <c r="D387">
        <v>5</v>
      </c>
      <c r="E387" s="3">
        <v>153.5</v>
      </c>
      <c r="F387">
        <v>2</v>
      </c>
      <c r="G387" s="6">
        <v>1307.47</v>
      </c>
      <c r="H387" t="s">
        <v>24</v>
      </c>
      <c r="I387" t="s">
        <v>41</v>
      </c>
      <c r="J387" t="str">
        <f>Table134[[#This Row],[First Name]]&amp;" "&amp;Table134[[#This Row],[Last Name]]</f>
        <v>Alex Miller</v>
      </c>
      <c r="K387" t="s">
        <v>46</v>
      </c>
      <c r="L387" s="5">
        <f>Table134[[#This Row],[Calls Reached]]/Table134[[#This Row],[Total Calls]]</f>
        <v>6.1728395061728392E-2</v>
      </c>
      <c r="M387" s="5">
        <f>Table134[[#This Row],[Deals Closed]]/Table134[[#This Row],[Calls Reached]]</f>
        <v>0.4</v>
      </c>
      <c r="N387" s="6">
        <f>IFERROR(Table134[[#This Row],[Deal Value ($)]]/Table134[[#This Row],[Deals Closed]],0)</f>
        <v>653.73500000000001</v>
      </c>
      <c r="O387" s="6">
        <f>Table134[[#This Row],[Deal Value ($)]]/Table134[[#This Row],[Total Calls]]</f>
        <v>16.141604938271605</v>
      </c>
      <c r="P387" t="str">
        <f>IF(Table134[[#This Row],[Conversion Rate]]&gt;=20%,"High","Low")</f>
        <v>High</v>
      </c>
    </row>
    <row r="388" spans="1:16" x14ac:dyDescent="0.25">
      <c r="A388" s="2">
        <v>45536</v>
      </c>
      <c r="B388" s="2" t="str">
        <f>TEXT(Table134[[#This Row],[Date]],"MMM")</f>
        <v>Sep</v>
      </c>
      <c r="C388">
        <v>72</v>
      </c>
      <c r="D388">
        <v>11</v>
      </c>
      <c r="E388" s="3">
        <v>459.86</v>
      </c>
      <c r="F388">
        <v>0</v>
      </c>
      <c r="G388" s="6">
        <v>1269.5999999999999</v>
      </c>
      <c r="H388" t="s">
        <v>28</v>
      </c>
      <c r="I388" t="s">
        <v>40</v>
      </c>
      <c r="J388" t="str">
        <f>Table134[[#This Row],[First Name]]&amp;" "&amp;Table134[[#This Row],[Last Name]]</f>
        <v>Vicky Davis</v>
      </c>
      <c r="K388" t="s">
        <v>45</v>
      </c>
      <c r="L388" s="5">
        <f>Table134[[#This Row],[Calls Reached]]/Table134[[#This Row],[Total Calls]]</f>
        <v>0.15277777777777779</v>
      </c>
      <c r="M388" s="5">
        <f>Table134[[#This Row],[Deals Closed]]/Table134[[#This Row],[Calls Reached]]</f>
        <v>0</v>
      </c>
      <c r="N388" s="6">
        <f>IFERROR(Table134[[#This Row],[Deal Value ($)]]/Table134[[#This Row],[Deals Closed]],0)</f>
        <v>0</v>
      </c>
      <c r="O388" s="6">
        <f>Table134[[#This Row],[Deal Value ($)]]/Table134[[#This Row],[Total Calls]]</f>
        <v>17.633333333333333</v>
      </c>
      <c r="P388" t="str">
        <f>IF(Table134[[#This Row],[Conversion Rate]]&gt;=20%,"High","Low")</f>
        <v>Low</v>
      </c>
    </row>
    <row r="389" spans="1:16" x14ac:dyDescent="0.25">
      <c r="A389" s="2">
        <v>45536</v>
      </c>
      <c r="B389" s="2" t="str">
        <f>TEXT(Table134[[#This Row],[Date]],"MMM")</f>
        <v>Sep</v>
      </c>
      <c r="C389">
        <v>21</v>
      </c>
      <c r="D389">
        <v>17</v>
      </c>
      <c r="E389" s="3">
        <v>533.41999999999996</v>
      </c>
      <c r="F389">
        <v>7</v>
      </c>
      <c r="G389" s="6">
        <v>3895.32</v>
      </c>
      <c r="H389" t="s">
        <v>26</v>
      </c>
      <c r="I389" t="s">
        <v>37</v>
      </c>
      <c r="J389" t="str">
        <f>Table134[[#This Row],[First Name]]&amp;" "&amp;Table134[[#This Row],[Last Name]]</f>
        <v>Darren Johnson</v>
      </c>
      <c r="K389" t="s">
        <v>45</v>
      </c>
      <c r="L389" s="5">
        <f>Table134[[#This Row],[Calls Reached]]/Table134[[#This Row],[Total Calls]]</f>
        <v>0.80952380952380953</v>
      </c>
      <c r="M389" s="5">
        <f>Table134[[#This Row],[Deals Closed]]/Table134[[#This Row],[Calls Reached]]</f>
        <v>0.41176470588235292</v>
      </c>
      <c r="N389" s="6">
        <f>IFERROR(Table134[[#This Row],[Deal Value ($)]]/Table134[[#This Row],[Deals Closed]],0)</f>
        <v>556.47428571428577</v>
      </c>
      <c r="O389" s="6">
        <f>Table134[[#This Row],[Deal Value ($)]]/Table134[[#This Row],[Total Calls]]</f>
        <v>185.49142857142857</v>
      </c>
      <c r="P389" t="str">
        <f>IF(Table134[[#This Row],[Conversion Rate]]&gt;=20%,"High","Low")</f>
        <v>High</v>
      </c>
    </row>
    <row r="390" spans="1:16" x14ac:dyDescent="0.25">
      <c r="A390" s="2">
        <v>45536</v>
      </c>
      <c r="B390" s="2" t="str">
        <f>TEXT(Table134[[#This Row],[Date]],"MMM")</f>
        <v>Sep</v>
      </c>
      <c r="C390">
        <v>86</v>
      </c>
      <c r="D390">
        <v>17</v>
      </c>
      <c r="E390" s="3">
        <v>160.88999999999999</v>
      </c>
      <c r="F390">
        <v>4</v>
      </c>
      <c r="G390" s="6">
        <v>418.33</v>
      </c>
      <c r="H390" t="s">
        <v>27</v>
      </c>
      <c r="I390" t="s">
        <v>36</v>
      </c>
      <c r="J390" t="str">
        <f>Table134[[#This Row],[First Name]]&amp;" "&amp;Table134[[#This Row],[Last Name]]</f>
        <v>Will Smith</v>
      </c>
      <c r="K390" t="s">
        <v>46</v>
      </c>
      <c r="L390" s="5">
        <f>Table134[[#This Row],[Calls Reached]]/Table134[[#This Row],[Total Calls]]</f>
        <v>0.19767441860465115</v>
      </c>
      <c r="M390" s="5">
        <f>Table134[[#This Row],[Deals Closed]]/Table134[[#This Row],[Calls Reached]]</f>
        <v>0.23529411764705882</v>
      </c>
      <c r="N390" s="6">
        <f>IFERROR(Table134[[#This Row],[Deal Value ($)]]/Table134[[#This Row],[Deals Closed]],0)</f>
        <v>104.5825</v>
      </c>
      <c r="O390" s="6">
        <f>Table134[[#This Row],[Deal Value ($)]]/Table134[[#This Row],[Total Calls]]</f>
        <v>4.8643023255813951</v>
      </c>
      <c r="P390" t="str">
        <f>IF(Table134[[#This Row],[Conversion Rate]]&gt;=20%,"High","Low")</f>
        <v>High</v>
      </c>
    </row>
    <row r="391" spans="1:16" x14ac:dyDescent="0.25">
      <c r="A391" s="2">
        <v>45536</v>
      </c>
      <c r="B391" s="2" t="str">
        <f>TEXT(Table134[[#This Row],[Date]],"MMM")</f>
        <v>Sep</v>
      </c>
      <c r="C391">
        <v>69</v>
      </c>
      <c r="D391">
        <v>7</v>
      </c>
      <c r="E391" s="3">
        <v>549.77</v>
      </c>
      <c r="F391">
        <v>2</v>
      </c>
      <c r="G391" s="6">
        <v>3916.58</v>
      </c>
      <c r="H391" t="s">
        <v>14</v>
      </c>
      <c r="I391" t="s">
        <v>41</v>
      </c>
      <c r="J391" t="str">
        <f>Table134[[#This Row],[First Name]]&amp;" "&amp;Table134[[#This Row],[Last Name]]</f>
        <v>Bob Miller</v>
      </c>
      <c r="K391" t="s">
        <v>45</v>
      </c>
      <c r="L391" s="5">
        <f>Table134[[#This Row],[Calls Reached]]/Table134[[#This Row],[Total Calls]]</f>
        <v>0.10144927536231885</v>
      </c>
      <c r="M391" s="5">
        <f>Table134[[#This Row],[Deals Closed]]/Table134[[#This Row],[Calls Reached]]</f>
        <v>0.2857142857142857</v>
      </c>
      <c r="N391" s="6">
        <f>IFERROR(Table134[[#This Row],[Deal Value ($)]]/Table134[[#This Row],[Deals Closed]],0)</f>
        <v>1958.29</v>
      </c>
      <c r="O391" s="6">
        <f>Table134[[#This Row],[Deal Value ($)]]/Table134[[#This Row],[Total Calls]]</f>
        <v>56.762028985507243</v>
      </c>
      <c r="P391" t="str">
        <f>IF(Table134[[#This Row],[Conversion Rate]]&gt;=20%,"High","Low")</f>
        <v>High</v>
      </c>
    </row>
    <row r="392" spans="1:16" x14ac:dyDescent="0.25">
      <c r="A392" s="2">
        <v>45536</v>
      </c>
      <c r="B392" s="2" t="str">
        <f>TEXT(Table134[[#This Row],[Date]],"MMM")</f>
        <v>Sep</v>
      </c>
      <c r="C392">
        <v>18</v>
      </c>
      <c r="D392">
        <v>13</v>
      </c>
      <c r="E392" s="3">
        <v>290.14</v>
      </c>
      <c r="F392">
        <v>2</v>
      </c>
      <c r="G392" s="6">
        <v>1444.65</v>
      </c>
      <c r="H392" t="s">
        <v>29</v>
      </c>
      <c r="I392" t="s">
        <v>44</v>
      </c>
      <c r="J392" t="str">
        <f>Table134[[#This Row],[First Name]]&amp;" "&amp;Table134[[#This Row],[Last Name]]</f>
        <v>Grace Brown</v>
      </c>
      <c r="K392" t="s">
        <v>46</v>
      </c>
      <c r="L392" s="5">
        <f>Table134[[#This Row],[Calls Reached]]/Table134[[#This Row],[Total Calls]]</f>
        <v>0.72222222222222221</v>
      </c>
      <c r="M392" s="5">
        <f>Table134[[#This Row],[Deals Closed]]/Table134[[#This Row],[Calls Reached]]</f>
        <v>0.15384615384615385</v>
      </c>
      <c r="N392" s="6">
        <f>IFERROR(Table134[[#This Row],[Deal Value ($)]]/Table134[[#This Row],[Deals Closed]],0)</f>
        <v>722.32500000000005</v>
      </c>
      <c r="O392" s="6">
        <f>Table134[[#This Row],[Deal Value ($)]]/Table134[[#This Row],[Total Calls]]</f>
        <v>80.25833333333334</v>
      </c>
      <c r="P392" t="str">
        <f>IF(Table134[[#This Row],[Conversion Rate]]&gt;=20%,"High","Low")</f>
        <v>Low</v>
      </c>
    </row>
    <row r="393" spans="1:16" x14ac:dyDescent="0.25">
      <c r="A393" s="2">
        <v>45536</v>
      </c>
      <c r="B393" s="2" t="str">
        <f>TEXT(Table134[[#This Row],[Date]],"MMM")</f>
        <v>Sep</v>
      </c>
      <c r="C393">
        <v>105</v>
      </c>
      <c r="D393">
        <v>7</v>
      </c>
      <c r="E393" s="3">
        <v>587.83000000000004</v>
      </c>
      <c r="F393">
        <v>1</v>
      </c>
      <c r="G393" s="6">
        <v>3601.93</v>
      </c>
      <c r="H393" t="s">
        <v>30</v>
      </c>
      <c r="I393" t="s">
        <v>39</v>
      </c>
      <c r="J393" t="str">
        <f>Table134[[#This Row],[First Name]]&amp;" "&amp;Table134[[#This Row],[Last Name]]</f>
        <v>Emma Jones</v>
      </c>
      <c r="K393" t="s">
        <v>45</v>
      </c>
      <c r="L393" s="5">
        <f>Table134[[#This Row],[Calls Reached]]/Table134[[#This Row],[Total Calls]]</f>
        <v>6.6666666666666666E-2</v>
      </c>
      <c r="M393" s="5">
        <f>Table134[[#This Row],[Deals Closed]]/Table134[[#This Row],[Calls Reached]]</f>
        <v>0.14285714285714285</v>
      </c>
      <c r="N393" s="6">
        <f>IFERROR(Table134[[#This Row],[Deal Value ($)]]/Table134[[#This Row],[Deals Closed]],0)</f>
        <v>3601.93</v>
      </c>
      <c r="O393" s="6">
        <f>Table134[[#This Row],[Deal Value ($)]]/Table134[[#This Row],[Total Calls]]</f>
        <v>34.304095238095236</v>
      </c>
      <c r="P393" t="str">
        <f>IF(Table134[[#This Row],[Conversion Rate]]&gt;=20%,"High","Low")</f>
        <v>Low</v>
      </c>
    </row>
    <row r="394" spans="1:16" x14ac:dyDescent="0.25">
      <c r="A394" s="2">
        <v>45536</v>
      </c>
      <c r="B394" s="2" t="str">
        <f>TEXT(Table134[[#This Row],[Date]],"MMM")</f>
        <v>Sep</v>
      </c>
      <c r="C394">
        <v>75</v>
      </c>
      <c r="D394">
        <v>8</v>
      </c>
      <c r="E394" s="3">
        <v>177.88</v>
      </c>
      <c r="F394">
        <v>7</v>
      </c>
      <c r="G394" s="6">
        <v>507.1</v>
      </c>
      <c r="H394" t="s">
        <v>31</v>
      </c>
      <c r="I394" t="s">
        <v>44</v>
      </c>
      <c r="J394" t="str">
        <f>Table134[[#This Row],[First Name]]&amp;" "&amp;Table134[[#This Row],[Last Name]]</f>
        <v>Josh Brown</v>
      </c>
      <c r="K394" t="s">
        <v>45</v>
      </c>
      <c r="L394" s="5">
        <f>Table134[[#This Row],[Calls Reached]]/Table134[[#This Row],[Total Calls]]</f>
        <v>0.10666666666666667</v>
      </c>
      <c r="M394" s="5">
        <f>Table134[[#This Row],[Deals Closed]]/Table134[[#This Row],[Calls Reached]]</f>
        <v>0.875</v>
      </c>
      <c r="N394" s="6">
        <f>IFERROR(Table134[[#This Row],[Deal Value ($)]]/Table134[[#This Row],[Deals Closed]],0)</f>
        <v>72.44285714285715</v>
      </c>
      <c r="O394" s="6">
        <f>Table134[[#This Row],[Deal Value ($)]]/Table134[[#This Row],[Total Calls]]</f>
        <v>6.7613333333333339</v>
      </c>
      <c r="P394" t="str">
        <f>IF(Table134[[#This Row],[Conversion Rate]]&gt;=20%,"High","Low")</f>
        <v>High</v>
      </c>
    </row>
    <row r="395" spans="1:16" x14ac:dyDescent="0.25">
      <c r="A395" s="2">
        <v>45536</v>
      </c>
      <c r="B395" s="2" t="str">
        <f>TEXT(Table134[[#This Row],[Date]],"MMM")</f>
        <v>Sep</v>
      </c>
      <c r="C395">
        <v>98</v>
      </c>
      <c r="D395">
        <v>12</v>
      </c>
      <c r="E395" s="3">
        <v>406.95</v>
      </c>
      <c r="F395">
        <v>0</v>
      </c>
      <c r="G395" s="6">
        <v>2978.09</v>
      </c>
      <c r="H395" t="s">
        <v>32</v>
      </c>
      <c r="I395" t="s">
        <v>38</v>
      </c>
      <c r="J395" t="str">
        <f>Table134[[#This Row],[First Name]]&amp;" "&amp;Table134[[#This Row],[Last Name]]</f>
        <v>Craig Rodriguez</v>
      </c>
      <c r="K395" t="s">
        <v>45</v>
      </c>
      <c r="L395" s="5">
        <f>Table134[[#This Row],[Calls Reached]]/Table134[[#This Row],[Total Calls]]</f>
        <v>0.12244897959183673</v>
      </c>
      <c r="M395" s="5">
        <f>Table134[[#This Row],[Deals Closed]]/Table134[[#This Row],[Calls Reached]]</f>
        <v>0</v>
      </c>
      <c r="N395" s="6">
        <f>IFERROR(Table134[[#This Row],[Deal Value ($)]]/Table134[[#This Row],[Deals Closed]],0)</f>
        <v>0</v>
      </c>
      <c r="O395" s="6">
        <f>Table134[[#This Row],[Deal Value ($)]]/Table134[[#This Row],[Total Calls]]</f>
        <v>30.388673469387758</v>
      </c>
      <c r="P395" t="str">
        <f>IF(Table134[[#This Row],[Conversion Rate]]&gt;=20%,"High","Low")</f>
        <v>Low</v>
      </c>
    </row>
    <row r="396" spans="1:16" x14ac:dyDescent="0.25">
      <c r="A396" s="2">
        <v>45536</v>
      </c>
      <c r="B396" s="2" t="str">
        <f>TEXT(Table134[[#This Row],[Date]],"MMM")</f>
        <v>Sep</v>
      </c>
      <c r="C396">
        <v>33</v>
      </c>
      <c r="D396">
        <v>13</v>
      </c>
      <c r="E396" s="3">
        <v>517.1</v>
      </c>
      <c r="F396">
        <v>4</v>
      </c>
      <c r="G396" s="6">
        <v>250.08</v>
      </c>
      <c r="H396" t="s">
        <v>33</v>
      </c>
      <c r="I396" t="s">
        <v>43</v>
      </c>
      <c r="J396" t="str">
        <f>Table134[[#This Row],[First Name]]&amp;" "&amp;Table134[[#This Row],[Last Name]]</f>
        <v>David Williams</v>
      </c>
      <c r="K396" t="s">
        <v>45</v>
      </c>
      <c r="L396" s="5">
        <f>Table134[[#This Row],[Calls Reached]]/Table134[[#This Row],[Total Calls]]</f>
        <v>0.39393939393939392</v>
      </c>
      <c r="M396" s="5">
        <f>Table134[[#This Row],[Deals Closed]]/Table134[[#This Row],[Calls Reached]]</f>
        <v>0.30769230769230771</v>
      </c>
      <c r="N396" s="6">
        <f>IFERROR(Table134[[#This Row],[Deal Value ($)]]/Table134[[#This Row],[Deals Closed]],0)</f>
        <v>62.52</v>
      </c>
      <c r="O396" s="6">
        <f>Table134[[#This Row],[Deal Value ($)]]/Table134[[#This Row],[Total Calls]]</f>
        <v>7.5781818181818181</v>
      </c>
      <c r="P396" t="str">
        <f>IF(Table134[[#This Row],[Conversion Rate]]&gt;=20%,"High","Low")</f>
        <v>High</v>
      </c>
    </row>
    <row r="397" spans="1:16" x14ac:dyDescent="0.25">
      <c r="A397" s="2">
        <v>45536</v>
      </c>
      <c r="B397" s="2" t="str">
        <f>TEXT(Table134[[#This Row],[Date]],"MMM")</f>
        <v>Sep</v>
      </c>
      <c r="C397">
        <v>35</v>
      </c>
      <c r="D397">
        <v>18</v>
      </c>
      <c r="E397" s="3">
        <v>348.92</v>
      </c>
      <c r="F397">
        <v>7</v>
      </c>
      <c r="G397" s="6">
        <v>4381.3900000000003</v>
      </c>
      <c r="H397" t="s">
        <v>34</v>
      </c>
      <c r="I397" t="s">
        <v>36</v>
      </c>
      <c r="J397" t="str">
        <f>Table134[[#This Row],[First Name]]&amp;" "&amp;Table134[[#This Row],[Last Name]]</f>
        <v>Mimi Smith</v>
      </c>
      <c r="K397" t="s">
        <v>45</v>
      </c>
      <c r="L397" s="5">
        <f>Table134[[#This Row],[Calls Reached]]/Table134[[#This Row],[Total Calls]]</f>
        <v>0.51428571428571423</v>
      </c>
      <c r="M397" s="5">
        <f>Table134[[#This Row],[Deals Closed]]/Table134[[#This Row],[Calls Reached]]</f>
        <v>0.3888888888888889</v>
      </c>
      <c r="N397" s="6">
        <f>IFERROR(Table134[[#This Row],[Deal Value ($)]]/Table134[[#This Row],[Deals Closed]],0)</f>
        <v>625.91285714285721</v>
      </c>
      <c r="O397" s="6">
        <f>Table134[[#This Row],[Deal Value ($)]]/Table134[[#This Row],[Total Calls]]</f>
        <v>125.18257142857144</v>
      </c>
      <c r="P397" t="str">
        <f>IF(Table134[[#This Row],[Conversion Rate]]&gt;=20%,"High","Low")</f>
        <v>High</v>
      </c>
    </row>
    <row r="398" spans="1:16" x14ac:dyDescent="0.25">
      <c r="A398" s="2">
        <v>45536</v>
      </c>
      <c r="B398" s="2" t="str">
        <f>TEXT(Table134[[#This Row],[Date]],"MMM")</f>
        <v>Sep</v>
      </c>
      <c r="C398">
        <v>93</v>
      </c>
      <c r="D398">
        <v>5</v>
      </c>
      <c r="E398" s="3">
        <v>77.12</v>
      </c>
      <c r="F398">
        <v>2</v>
      </c>
      <c r="G398" s="6">
        <v>3483.91</v>
      </c>
      <c r="H398" t="s">
        <v>25</v>
      </c>
      <c r="I398" t="s">
        <v>39</v>
      </c>
      <c r="J398" t="str">
        <f>Table134[[#This Row],[First Name]]&amp;" "&amp;Table134[[#This Row],[Last Name]]</f>
        <v>Karol Jones</v>
      </c>
      <c r="K398" t="s">
        <v>45</v>
      </c>
      <c r="L398" s="5">
        <f>Table134[[#This Row],[Calls Reached]]/Table134[[#This Row],[Total Calls]]</f>
        <v>5.3763440860215055E-2</v>
      </c>
      <c r="M398" s="5">
        <f>Table134[[#This Row],[Deals Closed]]/Table134[[#This Row],[Calls Reached]]</f>
        <v>0.4</v>
      </c>
      <c r="N398" s="6">
        <f>IFERROR(Table134[[#This Row],[Deal Value ($)]]/Table134[[#This Row],[Deals Closed]],0)</f>
        <v>1741.9549999999999</v>
      </c>
      <c r="O398" s="6">
        <f>Table134[[#This Row],[Deal Value ($)]]/Table134[[#This Row],[Total Calls]]</f>
        <v>37.461397849462365</v>
      </c>
      <c r="P398" t="str">
        <f>IF(Table134[[#This Row],[Conversion Rate]]&gt;=20%,"High","Low")</f>
        <v>High</v>
      </c>
    </row>
    <row r="399" spans="1:16" x14ac:dyDescent="0.25">
      <c r="A399" s="2">
        <v>45536</v>
      </c>
      <c r="B399" s="2" t="str">
        <f>TEXT(Table134[[#This Row],[Date]],"MMM")</f>
        <v>Sep</v>
      </c>
      <c r="C399">
        <v>77</v>
      </c>
      <c r="D399">
        <v>11</v>
      </c>
      <c r="E399" s="3">
        <v>487.47</v>
      </c>
      <c r="F399">
        <v>4</v>
      </c>
      <c r="G399" s="6">
        <v>990.89</v>
      </c>
      <c r="H399" t="s">
        <v>13</v>
      </c>
      <c r="I399" t="s">
        <v>40</v>
      </c>
      <c r="J399" t="str">
        <f>Table134[[#This Row],[First Name]]&amp;" "&amp;Table134[[#This Row],[Last Name]]</f>
        <v>Liam Davis</v>
      </c>
      <c r="K399" t="s">
        <v>46</v>
      </c>
      <c r="L399" s="5">
        <f>Table134[[#This Row],[Calls Reached]]/Table134[[#This Row],[Total Calls]]</f>
        <v>0.14285714285714285</v>
      </c>
      <c r="M399" s="5">
        <f>Table134[[#This Row],[Deals Closed]]/Table134[[#This Row],[Calls Reached]]</f>
        <v>0.36363636363636365</v>
      </c>
      <c r="N399" s="6">
        <f>IFERROR(Table134[[#This Row],[Deal Value ($)]]/Table134[[#This Row],[Deals Closed]],0)</f>
        <v>247.7225</v>
      </c>
      <c r="O399" s="6">
        <f>Table134[[#This Row],[Deal Value ($)]]/Table134[[#This Row],[Total Calls]]</f>
        <v>12.868701298701298</v>
      </c>
      <c r="P399" t="str">
        <f>IF(Table134[[#This Row],[Conversion Rate]]&gt;=20%,"High","Low")</f>
        <v>High</v>
      </c>
    </row>
    <row r="400" spans="1:16" x14ac:dyDescent="0.25">
      <c r="A400" s="2">
        <v>45536</v>
      </c>
      <c r="B400" s="2" t="str">
        <f>TEXT(Table134[[#This Row],[Date]],"MMM")</f>
        <v>Sep</v>
      </c>
      <c r="C400">
        <v>24</v>
      </c>
      <c r="D400">
        <v>7</v>
      </c>
      <c r="E400" s="3">
        <v>79.62</v>
      </c>
      <c r="F400">
        <v>4</v>
      </c>
      <c r="G400" s="6">
        <v>1650.69</v>
      </c>
      <c r="H400" t="s">
        <v>12</v>
      </c>
      <c r="I400" t="s">
        <v>37</v>
      </c>
      <c r="J400" t="str">
        <f>Table134[[#This Row],[First Name]]&amp;" "&amp;Table134[[#This Row],[Last Name]]</f>
        <v>Jake Johnson</v>
      </c>
      <c r="K400" t="s">
        <v>46</v>
      </c>
      <c r="L400" s="5">
        <f>Table134[[#This Row],[Calls Reached]]/Table134[[#This Row],[Total Calls]]</f>
        <v>0.29166666666666669</v>
      </c>
      <c r="M400" s="5">
        <f>Table134[[#This Row],[Deals Closed]]/Table134[[#This Row],[Calls Reached]]</f>
        <v>0.5714285714285714</v>
      </c>
      <c r="N400" s="6">
        <f>IFERROR(Table134[[#This Row],[Deal Value ($)]]/Table134[[#This Row],[Deals Closed]],0)</f>
        <v>412.67250000000001</v>
      </c>
      <c r="O400" s="6">
        <f>Table134[[#This Row],[Deal Value ($)]]/Table134[[#This Row],[Total Calls]]</f>
        <v>68.778750000000002</v>
      </c>
      <c r="P400" t="str">
        <f>IF(Table134[[#This Row],[Conversion Rate]]&gt;=20%,"High","Low")</f>
        <v>High</v>
      </c>
    </row>
    <row r="401" spans="1:16" x14ac:dyDescent="0.25">
      <c r="A401" s="2">
        <v>45536</v>
      </c>
      <c r="B401" s="2" t="str">
        <f>TEXT(Table134[[#This Row],[Date]],"MMM")</f>
        <v>Sep</v>
      </c>
      <c r="C401">
        <v>79</v>
      </c>
      <c r="D401">
        <v>9</v>
      </c>
      <c r="E401" s="3">
        <v>358.67</v>
      </c>
      <c r="F401">
        <v>5</v>
      </c>
      <c r="G401" s="6">
        <v>3658.64</v>
      </c>
      <c r="H401" t="s">
        <v>10</v>
      </c>
      <c r="I401" t="s">
        <v>40</v>
      </c>
      <c r="J401" t="str">
        <f>Table134[[#This Row],[First Name]]&amp;" "&amp;Table134[[#This Row],[Last Name]]</f>
        <v>Alice Davis</v>
      </c>
      <c r="K401" t="s">
        <v>45</v>
      </c>
      <c r="L401" s="5">
        <f>Table134[[#This Row],[Calls Reached]]/Table134[[#This Row],[Total Calls]]</f>
        <v>0.11392405063291139</v>
      </c>
      <c r="M401" s="5">
        <f>Table134[[#This Row],[Deals Closed]]/Table134[[#This Row],[Calls Reached]]</f>
        <v>0.55555555555555558</v>
      </c>
      <c r="N401" s="6">
        <f>IFERROR(Table134[[#This Row],[Deal Value ($)]]/Table134[[#This Row],[Deals Closed]],0)</f>
        <v>731.72799999999995</v>
      </c>
      <c r="O401" s="6">
        <f>Table134[[#This Row],[Deal Value ($)]]/Table134[[#This Row],[Total Calls]]</f>
        <v>46.311898734177213</v>
      </c>
      <c r="P401" t="str">
        <f>IF(Table134[[#This Row],[Conversion Rate]]&gt;=20%,"High","Low")</f>
        <v>High</v>
      </c>
    </row>
    <row r="402" spans="1:16" x14ac:dyDescent="0.25">
      <c r="A402" s="2">
        <v>45536</v>
      </c>
      <c r="B402" s="2" t="str">
        <f>TEXT(Table134[[#This Row],[Date]],"MMM")</f>
        <v>Sep</v>
      </c>
      <c r="C402">
        <v>51</v>
      </c>
      <c r="D402">
        <v>15</v>
      </c>
      <c r="E402" s="3">
        <v>349.71</v>
      </c>
      <c r="F402">
        <v>8</v>
      </c>
      <c r="G402" s="6">
        <v>4017.54</v>
      </c>
      <c r="H402" t="s">
        <v>9</v>
      </c>
      <c r="I402" t="s">
        <v>37</v>
      </c>
      <c r="J402" t="str">
        <f>Table134[[#This Row],[First Name]]&amp;" "&amp;Table134[[#This Row],[Last Name]]</f>
        <v>Evan Johnson</v>
      </c>
      <c r="K402" t="s">
        <v>46</v>
      </c>
      <c r="L402" s="5">
        <f>Table134[[#This Row],[Calls Reached]]/Table134[[#This Row],[Total Calls]]</f>
        <v>0.29411764705882354</v>
      </c>
      <c r="M402" s="5">
        <f>Table134[[#This Row],[Deals Closed]]/Table134[[#This Row],[Calls Reached]]</f>
        <v>0.53333333333333333</v>
      </c>
      <c r="N402" s="6">
        <f>IFERROR(Table134[[#This Row],[Deal Value ($)]]/Table134[[#This Row],[Deals Closed]],0)</f>
        <v>502.1925</v>
      </c>
      <c r="O402" s="6">
        <f>Table134[[#This Row],[Deal Value ($)]]/Table134[[#This Row],[Total Calls]]</f>
        <v>78.775294117647064</v>
      </c>
      <c r="P402" t="str">
        <f>IF(Table134[[#This Row],[Conversion Rate]]&gt;=20%,"High","Low")</f>
        <v>High</v>
      </c>
    </row>
    <row r="403" spans="1:16" x14ac:dyDescent="0.25">
      <c r="A403" s="2">
        <v>45536</v>
      </c>
      <c r="B403" s="2" t="str">
        <f>TEXT(Table134[[#This Row],[Date]],"MMM")</f>
        <v>Sep</v>
      </c>
      <c r="C403">
        <v>57</v>
      </c>
      <c r="D403">
        <v>18</v>
      </c>
      <c r="E403" s="3">
        <v>403.41</v>
      </c>
      <c r="F403">
        <v>3</v>
      </c>
      <c r="G403" s="6">
        <v>3767.63</v>
      </c>
      <c r="H403" t="s">
        <v>11</v>
      </c>
      <c r="I403" t="s">
        <v>41</v>
      </c>
      <c r="J403" t="str">
        <f>Table134[[#This Row],[First Name]]&amp;" "&amp;Table134[[#This Row],[Last Name]]</f>
        <v>Diana Miller</v>
      </c>
      <c r="K403" t="s">
        <v>46</v>
      </c>
      <c r="L403" s="5">
        <f>Table134[[#This Row],[Calls Reached]]/Table134[[#This Row],[Total Calls]]</f>
        <v>0.31578947368421051</v>
      </c>
      <c r="M403" s="5">
        <f>Table134[[#This Row],[Deals Closed]]/Table134[[#This Row],[Calls Reached]]</f>
        <v>0.16666666666666666</v>
      </c>
      <c r="N403" s="6">
        <f>IFERROR(Table134[[#This Row],[Deal Value ($)]]/Table134[[#This Row],[Deals Closed]],0)</f>
        <v>1255.8766666666668</v>
      </c>
      <c r="O403" s="6">
        <f>Table134[[#This Row],[Deal Value ($)]]/Table134[[#This Row],[Total Calls]]</f>
        <v>66.098771929824565</v>
      </c>
      <c r="P403" t="str">
        <f>IF(Table134[[#This Row],[Conversion Rate]]&gt;=20%,"High","Low")</f>
        <v>Low</v>
      </c>
    </row>
    <row r="404" spans="1:16" x14ac:dyDescent="0.25">
      <c r="A404" s="2">
        <v>45537</v>
      </c>
      <c r="B404" s="2" t="str">
        <f>TEXT(Table134[[#This Row],[Date]],"MMM")</f>
        <v>Sep</v>
      </c>
      <c r="C404">
        <v>71</v>
      </c>
      <c r="D404">
        <v>67</v>
      </c>
      <c r="E404" s="3">
        <v>318.73746101186453</v>
      </c>
      <c r="F404">
        <v>11</v>
      </c>
      <c r="G404" s="6">
        <v>1312.589053073001</v>
      </c>
      <c r="H404" t="s">
        <v>48</v>
      </c>
      <c r="I404" t="s">
        <v>40</v>
      </c>
      <c r="J404" t="str">
        <f>Table134[[#This Row],[First Name]]&amp;" "&amp;Table134[[#This Row],[Last Name]]</f>
        <v>Anna Davis</v>
      </c>
      <c r="K404" t="s">
        <v>46</v>
      </c>
      <c r="L404" s="5">
        <f>Table134[[#This Row],[Calls Reached]]/Table134[[#This Row],[Total Calls]]</f>
        <v>0.94366197183098588</v>
      </c>
      <c r="M404" s="5">
        <f>Table134[[#This Row],[Deals Closed]]/Table134[[#This Row],[Calls Reached]]</f>
        <v>0.16417910447761194</v>
      </c>
      <c r="N404" s="6">
        <f>IFERROR(Table134[[#This Row],[Deal Value ($)]]/Table134[[#This Row],[Deals Closed]],0)</f>
        <v>119.326277552091</v>
      </c>
      <c r="O404" s="6">
        <f>Table134[[#This Row],[Deal Value ($)]]/Table134[[#This Row],[Total Calls]]</f>
        <v>18.487169761591563</v>
      </c>
      <c r="P404" t="str">
        <f>IF(Table134[[#This Row],[Conversion Rate]]&gt;=20%,"High","Low")</f>
        <v>Low</v>
      </c>
    </row>
    <row r="405" spans="1:16" x14ac:dyDescent="0.25">
      <c r="A405" s="2">
        <v>45538</v>
      </c>
      <c r="B405" s="2" t="str">
        <f>TEXT(Table134[[#This Row],[Date]],"MMM")</f>
        <v>Sep</v>
      </c>
      <c r="C405">
        <v>77</v>
      </c>
      <c r="D405">
        <v>10</v>
      </c>
      <c r="E405" s="3">
        <v>552.07934724687425</v>
      </c>
      <c r="F405">
        <v>1</v>
      </c>
      <c r="G405" s="6">
        <v>3055.753537486833</v>
      </c>
      <c r="H405" t="s">
        <v>48</v>
      </c>
      <c r="I405" t="s">
        <v>44</v>
      </c>
      <c r="J405" t="str">
        <f>Table134[[#This Row],[First Name]]&amp;" "&amp;Table134[[#This Row],[Last Name]]</f>
        <v>Anna Brown</v>
      </c>
      <c r="K405" t="s">
        <v>46</v>
      </c>
      <c r="L405" s="5">
        <f>Table134[[#This Row],[Calls Reached]]/Table134[[#This Row],[Total Calls]]</f>
        <v>0.12987012987012986</v>
      </c>
      <c r="M405" s="5">
        <f>Table134[[#This Row],[Deals Closed]]/Table134[[#This Row],[Calls Reached]]</f>
        <v>0.1</v>
      </c>
      <c r="N405" s="6">
        <f>IFERROR(Table134[[#This Row],[Deal Value ($)]]/Table134[[#This Row],[Deals Closed]],0)</f>
        <v>3055.753537486833</v>
      </c>
      <c r="O405" s="6">
        <f>Table134[[#This Row],[Deal Value ($)]]/Table134[[#This Row],[Total Calls]]</f>
        <v>39.685110876452377</v>
      </c>
      <c r="P405" t="str">
        <f>IF(Table134[[#This Row],[Conversion Rate]]&gt;=20%,"High","Low")</f>
        <v>Low</v>
      </c>
    </row>
    <row r="406" spans="1:16" x14ac:dyDescent="0.25">
      <c r="A406" s="2">
        <v>45539</v>
      </c>
      <c r="B406" s="2" t="str">
        <f>TEXT(Table134[[#This Row],[Date]],"MMM")</f>
        <v>Sep</v>
      </c>
      <c r="C406">
        <v>51</v>
      </c>
      <c r="D406">
        <v>43</v>
      </c>
      <c r="E406" s="3">
        <v>274.12773351165009</v>
      </c>
      <c r="F406">
        <v>26</v>
      </c>
      <c r="G406" s="6">
        <v>4619.6973391461879</v>
      </c>
      <c r="H406" t="s">
        <v>10</v>
      </c>
      <c r="I406" t="s">
        <v>42</v>
      </c>
      <c r="J406" t="str">
        <f>Table134[[#This Row],[First Name]]&amp;" "&amp;Table134[[#This Row],[Last Name]]</f>
        <v>Alice Martinez</v>
      </c>
      <c r="K406" t="s">
        <v>45</v>
      </c>
      <c r="L406" s="5">
        <f>Table134[[#This Row],[Calls Reached]]/Table134[[#This Row],[Total Calls]]</f>
        <v>0.84313725490196079</v>
      </c>
      <c r="M406" s="5">
        <f>Table134[[#This Row],[Deals Closed]]/Table134[[#This Row],[Calls Reached]]</f>
        <v>0.60465116279069764</v>
      </c>
      <c r="N406" s="6">
        <f>IFERROR(Table134[[#This Row],[Deal Value ($)]]/Table134[[#This Row],[Deals Closed]],0)</f>
        <v>177.680666890238</v>
      </c>
      <c r="O406" s="6">
        <f>Table134[[#This Row],[Deal Value ($)]]/Table134[[#This Row],[Total Calls]]</f>
        <v>90.582300767572306</v>
      </c>
      <c r="P406" t="str">
        <f>IF(Table134[[#This Row],[Conversion Rate]]&gt;=20%,"High","Low")</f>
        <v>High</v>
      </c>
    </row>
    <row r="407" spans="1:16" x14ac:dyDescent="0.25">
      <c r="A407" s="2">
        <v>45540</v>
      </c>
      <c r="B407" s="2" t="str">
        <f>TEXT(Table134[[#This Row],[Date]],"MMM")</f>
        <v>Sep</v>
      </c>
      <c r="C407">
        <v>91</v>
      </c>
      <c r="D407">
        <v>57</v>
      </c>
      <c r="E407" s="3">
        <v>356.99474457990539</v>
      </c>
      <c r="F407">
        <v>30</v>
      </c>
      <c r="G407" s="6">
        <v>652.75690363609476</v>
      </c>
      <c r="H407" t="s">
        <v>48</v>
      </c>
      <c r="I407" t="s">
        <v>37</v>
      </c>
      <c r="J407" t="str">
        <f>Table134[[#This Row],[First Name]]&amp;" "&amp;Table134[[#This Row],[Last Name]]</f>
        <v>Anna Johnson</v>
      </c>
      <c r="K407" t="s">
        <v>46</v>
      </c>
      <c r="L407" s="5">
        <f>Table134[[#This Row],[Calls Reached]]/Table134[[#This Row],[Total Calls]]</f>
        <v>0.62637362637362637</v>
      </c>
      <c r="M407" s="5">
        <f>Table134[[#This Row],[Deals Closed]]/Table134[[#This Row],[Calls Reached]]</f>
        <v>0.52631578947368418</v>
      </c>
      <c r="N407" s="6">
        <f>IFERROR(Table134[[#This Row],[Deal Value ($)]]/Table134[[#This Row],[Deals Closed]],0)</f>
        <v>21.758563454536493</v>
      </c>
      <c r="O407" s="6">
        <f>Table134[[#This Row],[Deal Value ($)]]/Table134[[#This Row],[Total Calls]]</f>
        <v>7.1731527872098324</v>
      </c>
      <c r="P407" t="str">
        <f>IF(Table134[[#This Row],[Conversion Rate]]&gt;=20%,"High","Low")</f>
        <v>High</v>
      </c>
    </row>
    <row r="408" spans="1:16" x14ac:dyDescent="0.25">
      <c r="A408" s="2">
        <v>45541</v>
      </c>
      <c r="B408" s="2" t="str">
        <f>TEXT(Table134[[#This Row],[Date]],"MMM")</f>
        <v>Sep</v>
      </c>
      <c r="C408">
        <v>94</v>
      </c>
      <c r="D408">
        <v>10</v>
      </c>
      <c r="E408" s="3">
        <v>491.82650637057162</v>
      </c>
      <c r="F408">
        <v>35</v>
      </c>
      <c r="G408" s="6">
        <v>3638.3912026107801</v>
      </c>
      <c r="H408" t="s">
        <v>49</v>
      </c>
      <c r="I408" t="s">
        <v>42</v>
      </c>
      <c r="J408" t="str">
        <f>Table134[[#This Row],[First Name]]&amp;" "&amp;Table134[[#This Row],[Last Name]]</f>
        <v>Jane Martinez</v>
      </c>
      <c r="K408" t="s">
        <v>46</v>
      </c>
      <c r="L408" s="5">
        <f>Table134[[#This Row],[Calls Reached]]/Table134[[#This Row],[Total Calls]]</f>
        <v>0.10638297872340426</v>
      </c>
      <c r="M408" s="5">
        <f>Table134[[#This Row],[Deals Closed]]/Table134[[#This Row],[Calls Reached]]</f>
        <v>3.5</v>
      </c>
      <c r="N408" s="6">
        <f>IFERROR(Table134[[#This Row],[Deal Value ($)]]/Table134[[#This Row],[Deals Closed]],0)</f>
        <v>103.954034360308</v>
      </c>
      <c r="O408" s="6">
        <f>Table134[[#This Row],[Deal Value ($)]]/Table134[[#This Row],[Total Calls]]</f>
        <v>38.706289389476382</v>
      </c>
      <c r="P408" t="str">
        <f>IF(Table134[[#This Row],[Conversion Rate]]&gt;=20%,"High","Low")</f>
        <v>High</v>
      </c>
    </row>
    <row r="409" spans="1:16" x14ac:dyDescent="0.25">
      <c r="A409" s="2">
        <v>45544</v>
      </c>
      <c r="B409" s="2" t="str">
        <f>TEXT(Table134[[#This Row],[Date]],"MMM")</f>
        <v>Sep</v>
      </c>
      <c r="C409">
        <v>55</v>
      </c>
      <c r="D409">
        <v>25</v>
      </c>
      <c r="E409" s="3">
        <v>298.27139116063512</v>
      </c>
      <c r="F409">
        <v>35</v>
      </c>
      <c r="G409" s="6">
        <v>1838.070533176478</v>
      </c>
      <c r="H409" t="s">
        <v>48</v>
      </c>
      <c r="I409" t="s">
        <v>37</v>
      </c>
      <c r="J409" t="str">
        <f>Table134[[#This Row],[First Name]]&amp;" "&amp;Table134[[#This Row],[Last Name]]</f>
        <v>Anna Johnson</v>
      </c>
      <c r="K409" t="s">
        <v>45</v>
      </c>
      <c r="L409" s="5">
        <f>Table134[[#This Row],[Calls Reached]]/Table134[[#This Row],[Total Calls]]</f>
        <v>0.45454545454545453</v>
      </c>
      <c r="M409" s="5">
        <f>Table134[[#This Row],[Deals Closed]]/Table134[[#This Row],[Calls Reached]]</f>
        <v>1.4</v>
      </c>
      <c r="N409" s="6">
        <f>IFERROR(Table134[[#This Row],[Deal Value ($)]]/Table134[[#This Row],[Deals Closed]],0)</f>
        <v>52.516300947899367</v>
      </c>
      <c r="O409" s="6">
        <f>Table134[[#This Row],[Deal Value ($)]]/Table134[[#This Row],[Total Calls]]</f>
        <v>33.419464239572328</v>
      </c>
      <c r="P409" t="str">
        <f>IF(Table134[[#This Row],[Conversion Rate]]&gt;=20%,"High","Low")</f>
        <v>High</v>
      </c>
    </row>
    <row r="410" spans="1:16" x14ac:dyDescent="0.25">
      <c r="A410" s="2">
        <v>45545</v>
      </c>
      <c r="B410" s="2" t="str">
        <f>TEXT(Table134[[#This Row],[Date]],"MMM")</f>
        <v>Sep</v>
      </c>
      <c r="C410">
        <v>77</v>
      </c>
      <c r="D410">
        <v>70</v>
      </c>
      <c r="E410" s="3">
        <v>411.04335011393681</v>
      </c>
      <c r="F410">
        <v>25</v>
      </c>
      <c r="G410" s="6">
        <v>4659.7828791943866</v>
      </c>
      <c r="H410" t="s">
        <v>18</v>
      </c>
      <c r="I410" t="s">
        <v>38</v>
      </c>
      <c r="J410" t="str">
        <f>Table134[[#This Row],[First Name]]&amp;" "&amp;Table134[[#This Row],[Last Name]]</f>
        <v>Chris Rodriguez</v>
      </c>
      <c r="K410" t="s">
        <v>45</v>
      </c>
      <c r="L410" s="5">
        <f>Table134[[#This Row],[Calls Reached]]/Table134[[#This Row],[Total Calls]]</f>
        <v>0.90909090909090906</v>
      </c>
      <c r="M410" s="5">
        <f>Table134[[#This Row],[Deals Closed]]/Table134[[#This Row],[Calls Reached]]</f>
        <v>0.35714285714285715</v>
      </c>
      <c r="N410" s="6">
        <f>IFERROR(Table134[[#This Row],[Deal Value ($)]]/Table134[[#This Row],[Deals Closed]],0)</f>
        <v>186.39131516777547</v>
      </c>
      <c r="O410" s="6">
        <f>Table134[[#This Row],[Deal Value ($)]]/Table134[[#This Row],[Total Calls]]</f>
        <v>60.516660768758271</v>
      </c>
      <c r="P410" t="str">
        <f>IF(Table134[[#This Row],[Conversion Rate]]&gt;=20%,"High","Low")</f>
        <v>High</v>
      </c>
    </row>
    <row r="411" spans="1:16" x14ac:dyDescent="0.25">
      <c r="A411" s="2">
        <v>45546</v>
      </c>
      <c r="B411" s="2" t="str">
        <f>TEXT(Table134[[#This Row],[Date]],"MMM")</f>
        <v>Sep</v>
      </c>
      <c r="C411">
        <v>77</v>
      </c>
      <c r="D411">
        <v>73</v>
      </c>
      <c r="E411" s="3">
        <v>531.18185437337252</v>
      </c>
      <c r="F411">
        <v>26</v>
      </c>
      <c r="G411" s="6">
        <v>4869.7621032441548</v>
      </c>
      <c r="H411" t="s">
        <v>10</v>
      </c>
      <c r="I411" t="s">
        <v>43</v>
      </c>
      <c r="J411" t="str">
        <f>Table134[[#This Row],[First Name]]&amp;" "&amp;Table134[[#This Row],[Last Name]]</f>
        <v>Alice Williams</v>
      </c>
      <c r="K411" t="s">
        <v>45</v>
      </c>
      <c r="L411" s="5">
        <f>Table134[[#This Row],[Calls Reached]]/Table134[[#This Row],[Total Calls]]</f>
        <v>0.94805194805194803</v>
      </c>
      <c r="M411" s="5">
        <f>Table134[[#This Row],[Deals Closed]]/Table134[[#This Row],[Calls Reached]]</f>
        <v>0.35616438356164382</v>
      </c>
      <c r="N411" s="6">
        <f>IFERROR(Table134[[#This Row],[Deal Value ($)]]/Table134[[#This Row],[Deals Closed]],0)</f>
        <v>187.29854243246749</v>
      </c>
      <c r="O411" s="6">
        <f>Table134[[#This Row],[Deal Value ($)]]/Table134[[#This Row],[Total Calls]]</f>
        <v>63.243663678495516</v>
      </c>
      <c r="P411" t="str">
        <f>IF(Table134[[#This Row],[Conversion Rate]]&gt;=20%,"High","Low")</f>
        <v>High</v>
      </c>
    </row>
    <row r="412" spans="1:16" x14ac:dyDescent="0.25">
      <c r="A412" s="2">
        <v>45547</v>
      </c>
      <c r="B412" s="2" t="str">
        <f>TEXT(Table134[[#This Row],[Date]],"MMM")</f>
        <v>Sep</v>
      </c>
      <c r="C412">
        <v>93</v>
      </c>
      <c r="D412">
        <v>72</v>
      </c>
      <c r="E412" s="3">
        <v>574.76031182882105</v>
      </c>
      <c r="F412">
        <v>4</v>
      </c>
      <c r="G412" s="6">
        <v>4749.1992010104523</v>
      </c>
      <c r="H412" t="s">
        <v>47</v>
      </c>
      <c r="I412" t="s">
        <v>38</v>
      </c>
      <c r="J412" t="str">
        <f>Table134[[#This Row],[First Name]]&amp;" "&amp;Table134[[#This Row],[Last Name]]</f>
        <v>John Rodriguez</v>
      </c>
      <c r="K412" t="s">
        <v>46</v>
      </c>
      <c r="L412" s="5">
        <f>Table134[[#This Row],[Calls Reached]]/Table134[[#This Row],[Total Calls]]</f>
        <v>0.77419354838709675</v>
      </c>
      <c r="M412" s="5">
        <f>Table134[[#This Row],[Deals Closed]]/Table134[[#This Row],[Calls Reached]]</f>
        <v>5.5555555555555552E-2</v>
      </c>
      <c r="N412" s="6">
        <f>IFERROR(Table134[[#This Row],[Deal Value ($)]]/Table134[[#This Row],[Deals Closed]],0)</f>
        <v>1187.2998002526131</v>
      </c>
      <c r="O412" s="6">
        <f>Table134[[#This Row],[Deal Value ($)]]/Table134[[#This Row],[Total Calls]]</f>
        <v>51.066658075381206</v>
      </c>
      <c r="P412" t="str">
        <f>IF(Table134[[#This Row],[Conversion Rate]]&gt;=20%,"High","Low")</f>
        <v>Low</v>
      </c>
    </row>
    <row r="413" spans="1:16" x14ac:dyDescent="0.25">
      <c r="A413" s="2">
        <v>45548</v>
      </c>
      <c r="B413" s="2" t="str">
        <f>TEXT(Table134[[#This Row],[Date]],"MMM")</f>
        <v>Sep</v>
      </c>
      <c r="C413">
        <v>93</v>
      </c>
      <c r="D413">
        <v>78</v>
      </c>
      <c r="E413" s="3">
        <v>173.536740464519</v>
      </c>
      <c r="F413">
        <v>19</v>
      </c>
      <c r="G413" s="6">
        <v>2633.9639749585872</v>
      </c>
      <c r="H413" t="s">
        <v>48</v>
      </c>
      <c r="I413" t="s">
        <v>36</v>
      </c>
      <c r="J413" t="str">
        <f>Table134[[#This Row],[First Name]]&amp;" "&amp;Table134[[#This Row],[Last Name]]</f>
        <v>Anna Smith</v>
      </c>
      <c r="K413" t="s">
        <v>45</v>
      </c>
      <c r="L413" s="5">
        <f>Table134[[#This Row],[Calls Reached]]/Table134[[#This Row],[Total Calls]]</f>
        <v>0.83870967741935487</v>
      </c>
      <c r="M413" s="5">
        <f>Table134[[#This Row],[Deals Closed]]/Table134[[#This Row],[Calls Reached]]</f>
        <v>0.24358974358974358</v>
      </c>
      <c r="N413" s="6">
        <f>IFERROR(Table134[[#This Row],[Deal Value ($)]]/Table134[[#This Row],[Deals Closed]],0)</f>
        <v>138.62968289255721</v>
      </c>
      <c r="O413" s="6">
        <f>Table134[[#This Row],[Deal Value ($)]]/Table134[[#This Row],[Total Calls]]</f>
        <v>28.322193279124594</v>
      </c>
      <c r="P413" t="str">
        <f>IF(Table134[[#This Row],[Conversion Rate]]&gt;=20%,"High","Low")</f>
        <v>High</v>
      </c>
    </row>
    <row r="414" spans="1:16" x14ac:dyDescent="0.25">
      <c r="A414" s="2">
        <v>45551</v>
      </c>
      <c r="B414" s="2" t="str">
        <f>TEXT(Table134[[#This Row],[Date]],"MMM")</f>
        <v>Sep</v>
      </c>
      <c r="C414">
        <v>69</v>
      </c>
      <c r="D414">
        <v>31</v>
      </c>
      <c r="E414" s="3">
        <v>563.29381258074727</v>
      </c>
      <c r="F414">
        <v>10</v>
      </c>
      <c r="G414" s="6">
        <v>4379.1919294519103</v>
      </c>
      <c r="H414" t="s">
        <v>34</v>
      </c>
      <c r="I414" t="s">
        <v>44</v>
      </c>
      <c r="J414" t="str">
        <f>Table134[[#This Row],[First Name]]&amp;" "&amp;Table134[[#This Row],[Last Name]]</f>
        <v>Mimi Brown</v>
      </c>
      <c r="K414" t="s">
        <v>46</v>
      </c>
      <c r="L414" s="5">
        <f>Table134[[#This Row],[Calls Reached]]/Table134[[#This Row],[Total Calls]]</f>
        <v>0.44927536231884058</v>
      </c>
      <c r="M414" s="5">
        <f>Table134[[#This Row],[Deals Closed]]/Table134[[#This Row],[Calls Reached]]</f>
        <v>0.32258064516129031</v>
      </c>
      <c r="N414" s="6">
        <f>IFERROR(Table134[[#This Row],[Deal Value ($)]]/Table134[[#This Row],[Deals Closed]],0)</f>
        <v>437.91919294519101</v>
      </c>
      <c r="O414" s="6">
        <f>Table134[[#This Row],[Deal Value ($)]]/Table134[[#This Row],[Total Calls]]</f>
        <v>63.466549702201597</v>
      </c>
      <c r="P414" t="str">
        <f>IF(Table134[[#This Row],[Conversion Rate]]&gt;=20%,"High","Low")</f>
        <v>High</v>
      </c>
    </row>
    <row r="415" spans="1:16" x14ac:dyDescent="0.25">
      <c r="A415" s="2">
        <v>45552</v>
      </c>
      <c r="B415" s="2" t="str">
        <f>TEXT(Table134[[#This Row],[Date]],"MMM")</f>
        <v>Sep</v>
      </c>
      <c r="C415">
        <v>79</v>
      </c>
      <c r="D415">
        <v>76</v>
      </c>
      <c r="E415" s="3">
        <v>346.0581465397691</v>
      </c>
      <c r="F415">
        <v>9</v>
      </c>
      <c r="G415" s="6">
        <v>4300.4722934078163</v>
      </c>
      <c r="H415" t="s">
        <v>47</v>
      </c>
      <c r="I415" t="s">
        <v>37</v>
      </c>
      <c r="J415" t="str">
        <f>Table134[[#This Row],[First Name]]&amp;" "&amp;Table134[[#This Row],[Last Name]]</f>
        <v>John Johnson</v>
      </c>
      <c r="K415" t="s">
        <v>46</v>
      </c>
      <c r="L415" s="5">
        <f>Table134[[#This Row],[Calls Reached]]/Table134[[#This Row],[Total Calls]]</f>
        <v>0.96202531645569622</v>
      </c>
      <c r="M415" s="5">
        <f>Table134[[#This Row],[Deals Closed]]/Table134[[#This Row],[Calls Reached]]</f>
        <v>0.11842105263157894</v>
      </c>
      <c r="N415" s="6">
        <f>IFERROR(Table134[[#This Row],[Deal Value ($)]]/Table134[[#This Row],[Deals Closed]],0)</f>
        <v>477.83025482309068</v>
      </c>
      <c r="O415" s="6">
        <f>Table134[[#This Row],[Deal Value ($)]]/Table134[[#This Row],[Total Calls]]</f>
        <v>54.436358144402739</v>
      </c>
      <c r="P415" t="str">
        <f>IF(Table134[[#This Row],[Conversion Rate]]&gt;=20%,"High","Low")</f>
        <v>Low</v>
      </c>
    </row>
    <row r="416" spans="1:16" x14ac:dyDescent="0.25">
      <c r="A416" s="2">
        <v>45553</v>
      </c>
      <c r="B416" s="2" t="str">
        <f>TEXT(Table134[[#This Row],[Date]],"MMM")</f>
        <v>Sep</v>
      </c>
      <c r="C416">
        <v>60</v>
      </c>
      <c r="D416">
        <v>35</v>
      </c>
      <c r="E416" s="3">
        <v>229.12219414947921</v>
      </c>
      <c r="F416">
        <v>39</v>
      </c>
      <c r="G416" s="6">
        <v>1935.9521295946499</v>
      </c>
      <c r="H416" t="s">
        <v>49</v>
      </c>
      <c r="I416" t="s">
        <v>42</v>
      </c>
      <c r="J416" t="str">
        <f>Table134[[#This Row],[First Name]]&amp;" "&amp;Table134[[#This Row],[Last Name]]</f>
        <v>Jane Martinez</v>
      </c>
      <c r="K416" t="s">
        <v>45</v>
      </c>
      <c r="L416" s="5">
        <f>Table134[[#This Row],[Calls Reached]]/Table134[[#This Row],[Total Calls]]</f>
        <v>0.58333333333333337</v>
      </c>
      <c r="M416" s="5">
        <f>Table134[[#This Row],[Deals Closed]]/Table134[[#This Row],[Calls Reached]]</f>
        <v>1.1142857142857143</v>
      </c>
      <c r="N416" s="6">
        <f>IFERROR(Table134[[#This Row],[Deal Value ($)]]/Table134[[#This Row],[Deals Closed]],0)</f>
        <v>49.639798194734617</v>
      </c>
      <c r="O416" s="6">
        <f>Table134[[#This Row],[Deal Value ($)]]/Table134[[#This Row],[Total Calls]]</f>
        <v>32.265868826577496</v>
      </c>
      <c r="P416" t="str">
        <f>IF(Table134[[#This Row],[Conversion Rate]]&gt;=20%,"High","Low")</f>
        <v>High</v>
      </c>
    </row>
    <row r="417" spans="1:16" x14ac:dyDescent="0.25">
      <c r="A417" s="2">
        <v>45554</v>
      </c>
      <c r="B417" s="2" t="str">
        <f>TEXT(Table134[[#This Row],[Date]],"MMM")</f>
        <v>Sep</v>
      </c>
      <c r="C417">
        <v>77</v>
      </c>
      <c r="D417">
        <v>25</v>
      </c>
      <c r="E417" s="3">
        <v>329.56787811913068</v>
      </c>
      <c r="F417">
        <v>37</v>
      </c>
      <c r="G417" s="6">
        <v>4230.1196336780486</v>
      </c>
      <c r="H417" t="s">
        <v>34</v>
      </c>
      <c r="I417" t="s">
        <v>43</v>
      </c>
      <c r="J417" t="str">
        <f>Table134[[#This Row],[First Name]]&amp;" "&amp;Table134[[#This Row],[Last Name]]</f>
        <v>Mimi Williams</v>
      </c>
      <c r="K417" t="s">
        <v>45</v>
      </c>
      <c r="L417" s="5">
        <f>Table134[[#This Row],[Calls Reached]]/Table134[[#This Row],[Total Calls]]</f>
        <v>0.32467532467532467</v>
      </c>
      <c r="M417" s="5">
        <f>Table134[[#This Row],[Deals Closed]]/Table134[[#This Row],[Calls Reached]]</f>
        <v>1.48</v>
      </c>
      <c r="N417" s="6">
        <f>IFERROR(Table134[[#This Row],[Deal Value ($)]]/Table134[[#This Row],[Deals Closed]],0)</f>
        <v>114.32755766697429</v>
      </c>
      <c r="O417" s="6">
        <f>Table134[[#This Row],[Deal Value ($)]]/Table134[[#This Row],[Total Calls]]</f>
        <v>54.936618619195436</v>
      </c>
      <c r="P417" t="str">
        <f>IF(Table134[[#This Row],[Conversion Rate]]&gt;=20%,"High","Low")</f>
        <v>High</v>
      </c>
    </row>
    <row r="418" spans="1:16" x14ac:dyDescent="0.25">
      <c r="A418" s="2">
        <v>45555</v>
      </c>
      <c r="B418" s="2" t="str">
        <f>TEXT(Table134[[#This Row],[Date]],"MMM")</f>
        <v>Sep</v>
      </c>
      <c r="C418">
        <v>74</v>
      </c>
      <c r="D418">
        <v>60</v>
      </c>
      <c r="E418" s="3">
        <v>590.01628764273846</v>
      </c>
      <c r="F418">
        <v>5</v>
      </c>
      <c r="G418" s="6">
        <v>666.53435621971676</v>
      </c>
      <c r="H418" t="s">
        <v>47</v>
      </c>
      <c r="I418" t="s">
        <v>37</v>
      </c>
      <c r="J418" t="str">
        <f>Table134[[#This Row],[First Name]]&amp;" "&amp;Table134[[#This Row],[Last Name]]</f>
        <v>John Johnson</v>
      </c>
      <c r="K418" t="s">
        <v>46</v>
      </c>
      <c r="L418" s="5">
        <f>Table134[[#This Row],[Calls Reached]]/Table134[[#This Row],[Total Calls]]</f>
        <v>0.81081081081081086</v>
      </c>
      <c r="M418" s="5">
        <f>Table134[[#This Row],[Deals Closed]]/Table134[[#This Row],[Calls Reached]]</f>
        <v>8.3333333333333329E-2</v>
      </c>
      <c r="N418" s="6">
        <f>IFERROR(Table134[[#This Row],[Deal Value ($)]]/Table134[[#This Row],[Deals Closed]],0)</f>
        <v>133.30687124394336</v>
      </c>
      <c r="O418" s="6">
        <f>Table134[[#This Row],[Deal Value ($)]]/Table134[[#This Row],[Total Calls]]</f>
        <v>9.0072210299961721</v>
      </c>
      <c r="P418" t="str">
        <f>IF(Table134[[#This Row],[Conversion Rate]]&gt;=20%,"High","Low")</f>
        <v>Low</v>
      </c>
    </row>
    <row r="419" spans="1:16" x14ac:dyDescent="0.25">
      <c r="A419" s="2">
        <v>45558</v>
      </c>
      <c r="B419" s="2" t="str">
        <f>TEXT(Table134[[#This Row],[Date]],"MMM")</f>
        <v>Sep</v>
      </c>
      <c r="C419">
        <v>88</v>
      </c>
      <c r="D419">
        <v>66</v>
      </c>
      <c r="E419" s="3">
        <v>346.3090469964348</v>
      </c>
      <c r="F419">
        <v>7</v>
      </c>
      <c r="G419" s="6">
        <v>3183.2144531692388</v>
      </c>
      <c r="H419" t="s">
        <v>34</v>
      </c>
      <c r="I419" t="s">
        <v>42</v>
      </c>
      <c r="J419" t="str">
        <f>Table134[[#This Row],[First Name]]&amp;" "&amp;Table134[[#This Row],[Last Name]]</f>
        <v>Mimi Martinez</v>
      </c>
      <c r="K419" t="s">
        <v>45</v>
      </c>
      <c r="L419" s="5">
        <f>Table134[[#This Row],[Calls Reached]]/Table134[[#This Row],[Total Calls]]</f>
        <v>0.75</v>
      </c>
      <c r="M419" s="5">
        <f>Table134[[#This Row],[Deals Closed]]/Table134[[#This Row],[Calls Reached]]</f>
        <v>0.10606060606060606</v>
      </c>
      <c r="N419" s="6">
        <f>IFERROR(Table134[[#This Row],[Deal Value ($)]]/Table134[[#This Row],[Deals Closed]],0)</f>
        <v>454.74492188131984</v>
      </c>
      <c r="O419" s="6">
        <f>Table134[[#This Row],[Deal Value ($)]]/Table134[[#This Row],[Total Calls]]</f>
        <v>36.172891513286807</v>
      </c>
      <c r="P419" t="str">
        <f>IF(Table134[[#This Row],[Conversion Rate]]&gt;=20%,"High","Low")</f>
        <v>Low</v>
      </c>
    </row>
    <row r="420" spans="1:16" x14ac:dyDescent="0.25">
      <c r="A420" s="2">
        <v>45559</v>
      </c>
      <c r="B420" s="2" t="str">
        <f>TEXT(Table134[[#This Row],[Date]],"MMM")</f>
        <v>Sep</v>
      </c>
      <c r="C420">
        <v>82</v>
      </c>
      <c r="D420">
        <v>38</v>
      </c>
      <c r="E420" s="3">
        <v>264.37580514375412</v>
      </c>
      <c r="F420">
        <v>22</v>
      </c>
      <c r="G420" s="6">
        <v>1535.0397677946639</v>
      </c>
      <c r="H420" t="s">
        <v>49</v>
      </c>
      <c r="I420" t="s">
        <v>44</v>
      </c>
      <c r="J420" t="str">
        <f>Table134[[#This Row],[First Name]]&amp;" "&amp;Table134[[#This Row],[Last Name]]</f>
        <v>Jane Brown</v>
      </c>
      <c r="K420" t="s">
        <v>46</v>
      </c>
      <c r="L420" s="5">
        <f>Table134[[#This Row],[Calls Reached]]/Table134[[#This Row],[Total Calls]]</f>
        <v>0.46341463414634149</v>
      </c>
      <c r="M420" s="5">
        <f>Table134[[#This Row],[Deals Closed]]/Table134[[#This Row],[Calls Reached]]</f>
        <v>0.57894736842105265</v>
      </c>
      <c r="N420" s="6">
        <f>IFERROR(Table134[[#This Row],[Deal Value ($)]]/Table134[[#This Row],[Deals Closed]],0)</f>
        <v>69.774534899757455</v>
      </c>
      <c r="O420" s="6">
        <f>Table134[[#This Row],[Deal Value ($)]]/Table134[[#This Row],[Total Calls]]</f>
        <v>18.719997168227607</v>
      </c>
      <c r="P420" t="str">
        <f>IF(Table134[[#This Row],[Conversion Rate]]&gt;=20%,"High","Low")</f>
        <v>High</v>
      </c>
    </row>
    <row r="421" spans="1:16" x14ac:dyDescent="0.25">
      <c r="A421" s="2">
        <v>45560</v>
      </c>
      <c r="B421" s="2" t="str">
        <f>TEXT(Table134[[#This Row],[Date]],"MMM")</f>
        <v>Sep</v>
      </c>
      <c r="C421">
        <v>50</v>
      </c>
      <c r="D421">
        <v>78</v>
      </c>
      <c r="E421" s="3">
        <v>416.70042715836291</v>
      </c>
      <c r="F421">
        <v>25</v>
      </c>
      <c r="G421" s="6">
        <v>1042.5509859977551</v>
      </c>
      <c r="H421" t="s">
        <v>10</v>
      </c>
      <c r="I421" t="s">
        <v>38</v>
      </c>
      <c r="J421" t="str">
        <f>Table134[[#This Row],[First Name]]&amp;" "&amp;Table134[[#This Row],[Last Name]]</f>
        <v>Alice Rodriguez</v>
      </c>
      <c r="K421" t="s">
        <v>45</v>
      </c>
      <c r="L421" s="5">
        <f>Table134[[#This Row],[Calls Reached]]/Table134[[#This Row],[Total Calls]]</f>
        <v>1.56</v>
      </c>
      <c r="M421" s="5">
        <f>Table134[[#This Row],[Deals Closed]]/Table134[[#This Row],[Calls Reached]]</f>
        <v>0.32051282051282054</v>
      </c>
      <c r="N421" s="6">
        <f>IFERROR(Table134[[#This Row],[Deal Value ($)]]/Table134[[#This Row],[Deals Closed]],0)</f>
        <v>41.702039439910202</v>
      </c>
      <c r="O421" s="6">
        <f>Table134[[#This Row],[Deal Value ($)]]/Table134[[#This Row],[Total Calls]]</f>
        <v>20.851019719955101</v>
      </c>
      <c r="P421" t="str">
        <f>IF(Table134[[#This Row],[Conversion Rate]]&gt;=20%,"High","Low")</f>
        <v>High</v>
      </c>
    </row>
    <row r="422" spans="1:16" x14ac:dyDescent="0.25">
      <c r="A422" s="2">
        <v>45561</v>
      </c>
      <c r="B422" s="2" t="str">
        <f>TEXT(Table134[[#This Row],[Date]],"MMM")</f>
        <v>Sep</v>
      </c>
      <c r="C422">
        <v>76</v>
      </c>
      <c r="D422">
        <v>56</v>
      </c>
      <c r="E422" s="3">
        <v>220.07280938909651</v>
      </c>
      <c r="F422">
        <v>11</v>
      </c>
      <c r="G422" s="6">
        <v>846.28940733144123</v>
      </c>
      <c r="H422" t="s">
        <v>18</v>
      </c>
      <c r="I422" t="s">
        <v>44</v>
      </c>
      <c r="J422" t="str">
        <f>Table134[[#This Row],[First Name]]&amp;" "&amp;Table134[[#This Row],[Last Name]]</f>
        <v>Chris Brown</v>
      </c>
      <c r="K422" t="s">
        <v>45</v>
      </c>
      <c r="L422" s="5">
        <f>Table134[[#This Row],[Calls Reached]]/Table134[[#This Row],[Total Calls]]</f>
        <v>0.73684210526315785</v>
      </c>
      <c r="M422" s="5">
        <f>Table134[[#This Row],[Deals Closed]]/Table134[[#This Row],[Calls Reached]]</f>
        <v>0.19642857142857142</v>
      </c>
      <c r="N422" s="6">
        <f>IFERROR(Table134[[#This Row],[Deal Value ($)]]/Table134[[#This Row],[Deals Closed]],0)</f>
        <v>76.935400666494658</v>
      </c>
      <c r="O422" s="6">
        <f>Table134[[#This Row],[Deal Value ($)]]/Table134[[#This Row],[Total Calls]]</f>
        <v>11.135386938571594</v>
      </c>
      <c r="P422" t="str">
        <f>IF(Table134[[#This Row],[Conversion Rate]]&gt;=20%,"High","Low")</f>
        <v>Low</v>
      </c>
    </row>
    <row r="423" spans="1:16" x14ac:dyDescent="0.25">
      <c r="A423" s="2">
        <v>45562</v>
      </c>
      <c r="B423" s="2" t="str">
        <f>TEXT(Table134[[#This Row],[Date]],"MMM")</f>
        <v>Sep</v>
      </c>
      <c r="C423">
        <v>62</v>
      </c>
      <c r="D423">
        <v>71</v>
      </c>
      <c r="E423" s="3">
        <v>137.931664054332</v>
      </c>
      <c r="F423">
        <v>25</v>
      </c>
      <c r="G423" s="6">
        <v>3633.2994914516289</v>
      </c>
      <c r="H423" t="s">
        <v>49</v>
      </c>
      <c r="I423" t="s">
        <v>35</v>
      </c>
      <c r="J423" t="str">
        <f>Table134[[#This Row],[First Name]]&amp;" "&amp;Table134[[#This Row],[Last Name]]</f>
        <v>Jane Garcia</v>
      </c>
      <c r="K423" t="s">
        <v>45</v>
      </c>
      <c r="L423" s="5">
        <f>Table134[[#This Row],[Calls Reached]]/Table134[[#This Row],[Total Calls]]</f>
        <v>1.1451612903225807</v>
      </c>
      <c r="M423" s="5">
        <f>Table134[[#This Row],[Deals Closed]]/Table134[[#This Row],[Calls Reached]]</f>
        <v>0.352112676056338</v>
      </c>
      <c r="N423" s="6">
        <f>IFERROR(Table134[[#This Row],[Deal Value ($)]]/Table134[[#This Row],[Deals Closed]],0)</f>
        <v>145.33197965806517</v>
      </c>
      <c r="O423" s="6">
        <f>Table134[[#This Row],[Deal Value ($)]]/Table134[[#This Row],[Total Calls]]</f>
        <v>58.601604700832723</v>
      </c>
      <c r="P423" t="str">
        <f>IF(Table134[[#This Row],[Conversion Rate]]&gt;=20%,"High","Low")</f>
        <v>High</v>
      </c>
    </row>
    <row r="424" spans="1:16" x14ac:dyDescent="0.25">
      <c r="A424" s="2">
        <v>45565</v>
      </c>
      <c r="B424" s="2" t="str">
        <f>TEXT(Table134[[#This Row],[Date]],"MMM")</f>
        <v>Sep</v>
      </c>
      <c r="C424">
        <v>90</v>
      </c>
      <c r="D424">
        <v>78</v>
      </c>
      <c r="E424" s="3">
        <v>164.4398609553246</v>
      </c>
      <c r="F424">
        <v>12</v>
      </c>
      <c r="G424" s="6">
        <v>2029.4373369562979</v>
      </c>
      <c r="H424" t="s">
        <v>49</v>
      </c>
      <c r="I424" t="s">
        <v>36</v>
      </c>
      <c r="J424" t="str">
        <f>Table134[[#This Row],[First Name]]&amp;" "&amp;Table134[[#This Row],[Last Name]]</f>
        <v>Jane Smith</v>
      </c>
      <c r="K424" t="s">
        <v>46</v>
      </c>
      <c r="L424" s="5">
        <f>Table134[[#This Row],[Calls Reached]]/Table134[[#This Row],[Total Calls]]</f>
        <v>0.8666666666666667</v>
      </c>
      <c r="M424" s="5">
        <f>Table134[[#This Row],[Deals Closed]]/Table134[[#This Row],[Calls Reached]]</f>
        <v>0.15384615384615385</v>
      </c>
      <c r="N424" s="6">
        <f>IFERROR(Table134[[#This Row],[Deal Value ($)]]/Table134[[#This Row],[Deals Closed]],0)</f>
        <v>169.11977807969149</v>
      </c>
      <c r="O424" s="6">
        <f>Table134[[#This Row],[Deal Value ($)]]/Table134[[#This Row],[Total Calls]]</f>
        <v>22.549303743958866</v>
      </c>
      <c r="P424" t="str">
        <f>IF(Table134[[#This Row],[Conversion Rate]]&gt;=20%,"High","Low")</f>
        <v>Low</v>
      </c>
    </row>
    <row r="425" spans="1:16" x14ac:dyDescent="0.25">
      <c r="A425" s="2">
        <v>45566</v>
      </c>
      <c r="B425" s="2" t="str">
        <f>TEXT(Table134[[#This Row],[Date]],"MMM")</f>
        <v>Oct</v>
      </c>
      <c r="C425">
        <v>32</v>
      </c>
      <c r="D425">
        <v>16</v>
      </c>
      <c r="E425" s="3">
        <v>393.04</v>
      </c>
      <c r="F425">
        <v>7</v>
      </c>
      <c r="G425" s="6">
        <v>1286.18</v>
      </c>
      <c r="H425" t="s">
        <v>17</v>
      </c>
      <c r="I425" t="s">
        <v>37</v>
      </c>
      <c r="J425" t="str">
        <f>Table134[[#This Row],[First Name]]&amp;" "&amp;Table134[[#This Row],[Last Name]]</f>
        <v>Molly Johnson</v>
      </c>
      <c r="K425" t="s">
        <v>46</v>
      </c>
      <c r="L425" s="5">
        <f>Table134[[#This Row],[Calls Reached]]/Table134[[#This Row],[Total Calls]]</f>
        <v>0.5</v>
      </c>
      <c r="M425" s="5">
        <f>Table134[[#This Row],[Deals Closed]]/Table134[[#This Row],[Calls Reached]]</f>
        <v>0.4375</v>
      </c>
      <c r="N425" s="6">
        <f>IFERROR(Table134[[#This Row],[Deal Value ($)]]/Table134[[#This Row],[Deals Closed]],0)</f>
        <v>183.74</v>
      </c>
      <c r="O425" s="6">
        <f>Table134[[#This Row],[Deal Value ($)]]/Table134[[#This Row],[Total Calls]]</f>
        <v>40.193125000000002</v>
      </c>
      <c r="P425" t="str">
        <f>IF(Table134[[#This Row],[Conversion Rate]]&gt;=20%,"High","Low")</f>
        <v>High</v>
      </c>
    </row>
    <row r="426" spans="1:16" x14ac:dyDescent="0.25">
      <c r="A426" s="2">
        <v>45566</v>
      </c>
      <c r="B426" s="2" t="str">
        <f>TEXT(Table134[[#This Row],[Date]],"MMM")</f>
        <v>Oct</v>
      </c>
      <c r="C426">
        <v>51</v>
      </c>
      <c r="D426">
        <v>7</v>
      </c>
      <c r="E426" s="3">
        <v>248.37</v>
      </c>
      <c r="F426">
        <v>7</v>
      </c>
      <c r="G426" s="6">
        <v>3946.23</v>
      </c>
      <c r="H426" t="s">
        <v>16</v>
      </c>
      <c r="I426" t="s">
        <v>44</v>
      </c>
      <c r="J426" t="str">
        <f>Table134[[#This Row],[First Name]]&amp;" "&amp;Table134[[#This Row],[Last Name]]</f>
        <v>Charlie Brown</v>
      </c>
      <c r="K426" t="s">
        <v>45</v>
      </c>
      <c r="L426" s="5">
        <f>Table134[[#This Row],[Calls Reached]]/Table134[[#This Row],[Total Calls]]</f>
        <v>0.13725490196078433</v>
      </c>
      <c r="M426" s="5">
        <f>Table134[[#This Row],[Deals Closed]]/Table134[[#This Row],[Calls Reached]]</f>
        <v>1</v>
      </c>
      <c r="N426" s="6">
        <f>IFERROR(Table134[[#This Row],[Deal Value ($)]]/Table134[[#This Row],[Deals Closed]],0)</f>
        <v>563.74714285714288</v>
      </c>
      <c r="O426" s="6">
        <f>Table134[[#This Row],[Deal Value ($)]]/Table134[[#This Row],[Total Calls]]</f>
        <v>77.37705882352941</v>
      </c>
      <c r="P426" t="str">
        <f>IF(Table134[[#This Row],[Conversion Rate]]&gt;=20%,"High","Low")</f>
        <v>High</v>
      </c>
    </row>
    <row r="427" spans="1:16" x14ac:dyDescent="0.25">
      <c r="A427" s="2">
        <v>45566</v>
      </c>
      <c r="B427" s="2" t="str">
        <f>TEXT(Table134[[#This Row],[Date]],"MMM")</f>
        <v>Oct</v>
      </c>
      <c r="C427">
        <v>70</v>
      </c>
      <c r="D427">
        <v>21</v>
      </c>
      <c r="E427" s="3">
        <v>319.62</v>
      </c>
      <c r="F427">
        <v>3</v>
      </c>
      <c r="G427" s="6">
        <v>2486.2199999999998</v>
      </c>
      <c r="H427" t="s">
        <v>15</v>
      </c>
      <c r="I427" t="s">
        <v>37</v>
      </c>
      <c r="J427" t="str">
        <f>Table134[[#This Row],[First Name]]&amp;" "&amp;Table134[[#This Row],[Last Name]]</f>
        <v>Rick Johnson</v>
      </c>
      <c r="K427" t="s">
        <v>46</v>
      </c>
      <c r="L427" s="5">
        <f>Table134[[#This Row],[Calls Reached]]/Table134[[#This Row],[Total Calls]]</f>
        <v>0.3</v>
      </c>
      <c r="M427" s="5">
        <f>Table134[[#This Row],[Deals Closed]]/Table134[[#This Row],[Calls Reached]]</f>
        <v>0.14285714285714285</v>
      </c>
      <c r="N427" s="6">
        <f>IFERROR(Table134[[#This Row],[Deal Value ($)]]/Table134[[#This Row],[Deals Closed]],0)</f>
        <v>828.7399999999999</v>
      </c>
      <c r="O427" s="6">
        <f>Table134[[#This Row],[Deal Value ($)]]/Table134[[#This Row],[Total Calls]]</f>
        <v>35.517428571428567</v>
      </c>
      <c r="P427" t="str">
        <f>IF(Table134[[#This Row],[Conversion Rate]]&gt;=20%,"High","Low")</f>
        <v>Low</v>
      </c>
    </row>
    <row r="428" spans="1:16" x14ac:dyDescent="0.25">
      <c r="A428" s="2">
        <v>45566</v>
      </c>
      <c r="B428" s="2" t="str">
        <f>TEXT(Table134[[#This Row],[Date]],"MMM")</f>
        <v>Oct</v>
      </c>
      <c r="C428">
        <v>62</v>
      </c>
      <c r="D428">
        <v>8</v>
      </c>
      <c r="E428" s="3">
        <v>540.79999999999995</v>
      </c>
      <c r="F428">
        <v>3</v>
      </c>
      <c r="G428" s="6">
        <v>3928.71</v>
      </c>
      <c r="H428" t="s">
        <v>14</v>
      </c>
      <c r="I428" t="s">
        <v>36</v>
      </c>
      <c r="J428" t="str">
        <f>Table134[[#This Row],[First Name]]&amp;" "&amp;Table134[[#This Row],[Last Name]]</f>
        <v>Bob Smith</v>
      </c>
      <c r="K428" t="s">
        <v>45</v>
      </c>
      <c r="L428" s="5">
        <f>Table134[[#This Row],[Calls Reached]]/Table134[[#This Row],[Total Calls]]</f>
        <v>0.12903225806451613</v>
      </c>
      <c r="M428" s="5">
        <f>Table134[[#This Row],[Deals Closed]]/Table134[[#This Row],[Calls Reached]]</f>
        <v>0.375</v>
      </c>
      <c r="N428" s="6">
        <f>IFERROR(Table134[[#This Row],[Deal Value ($)]]/Table134[[#This Row],[Deals Closed]],0)</f>
        <v>1309.57</v>
      </c>
      <c r="O428" s="6">
        <f>Table134[[#This Row],[Deal Value ($)]]/Table134[[#This Row],[Total Calls]]</f>
        <v>63.366290322580646</v>
      </c>
      <c r="P428" t="str">
        <f>IF(Table134[[#This Row],[Conversion Rate]]&gt;=20%,"High","Low")</f>
        <v>High</v>
      </c>
    </row>
    <row r="429" spans="1:16" x14ac:dyDescent="0.25">
      <c r="A429" s="2">
        <v>45566</v>
      </c>
      <c r="B429" s="2" t="str">
        <f>TEXT(Table134[[#This Row],[Date]],"MMM")</f>
        <v>Oct</v>
      </c>
      <c r="C429">
        <v>71</v>
      </c>
      <c r="D429">
        <v>16</v>
      </c>
      <c r="E429" s="3">
        <v>323.56</v>
      </c>
      <c r="F429">
        <v>9</v>
      </c>
      <c r="G429" s="6">
        <v>957.05</v>
      </c>
      <c r="H429" t="s">
        <v>18</v>
      </c>
      <c r="I429" t="s">
        <v>43</v>
      </c>
      <c r="J429" t="str">
        <f>Table134[[#This Row],[First Name]]&amp;" "&amp;Table134[[#This Row],[Last Name]]</f>
        <v>Chris Williams</v>
      </c>
      <c r="K429" t="s">
        <v>45</v>
      </c>
      <c r="L429" s="5">
        <f>Table134[[#This Row],[Calls Reached]]/Table134[[#This Row],[Total Calls]]</f>
        <v>0.22535211267605634</v>
      </c>
      <c r="M429" s="5">
        <f>Table134[[#This Row],[Deals Closed]]/Table134[[#This Row],[Calls Reached]]</f>
        <v>0.5625</v>
      </c>
      <c r="N429" s="6">
        <f>IFERROR(Table134[[#This Row],[Deal Value ($)]]/Table134[[#This Row],[Deals Closed]],0)</f>
        <v>106.33888888888889</v>
      </c>
      <c r="O429" s="6">
        <f>Table134[[#This Row],[Deal Value ($)]]/Table134[[#This Row],[Total Calls]]</f>
        <v>13.479577464788731</v>
      </c>
      <c r="P429" t="str">
        <f>IF(Table134[[#This Row],[Conversion Rate]]&gt;=20%,"High","Low")</f>
        <v>High</v>
      </c>
    </row>
    <row r="430" spans="1:16" x14ac:dyDescent="0.25">
      <c r="A430" s="2">
        <v>45566</v>
      </c>
      <c r="B430" s="2" t="str">
        <f>TEXT(Table134[[#This Row],[Date]],"MMM")</f>
        <v>Oct</v>
      </c>
      <c r="C430">
        <v>22</v>
      </c>
      <c r="D430">
        <v>7</v>
      </c>
      <c r="E430" s="3">
        <v>74.680000000000007</v>
      </c>
      <c r="F430">
        <v>4</v>
      </c>
      <c r="G430" s="6">
        <v>1543.72</v>
      </c>
      <c r="H430" t="s">
        <v>12</v>
      </c>
      <c r="I430" t="s">
        <v>36</v>
      </c>
      <c r="J430" t="str">
        <f>Table134[[#This Row],[First Name]]&amp;" "&amp;Table134[[#This Row],[Last Name]]</f>
        <v>Jake Smith</v>
      </c>
      <c r="K430" t="s">
        <v>46</v>
      </c>
      <c r="L430" s="5">
        <f>Table134[[#This Row],[Calls Reached]]/Table134[[#This Row],[Total Calls]]</f>
        <v>0.31818181818181818</v>
      </c>
      <c r="M430" s="5">
        <f>Table134[[#This Row],[Deals Closed]]/Table134[[#This Row],[Calls Reached]]</f>
        <v>0.5714285714285714</v>
      </c>
      <c r="N430" s="6">
        <f>IFERROR(Table134[[#This Row],[Deal Value ($)]]/Table134[[#This Row],[Deals Closed]],0)</f>
        <v>385.93</v>
      </c>
      <c r="O430" s="6">
        <f>Table134[[#This Row],[Deal Value ($)]]/Table134[[#This Row],[Total Calls]]</f>
        <v>70.169090909090912</v>
      </c>
      <c r="P430" t="str">
        <f>IF(Table134[[#This Row],[Conversion Rate]]&gt;=20%,"High","Low")</f>
        <v>High</v>
      </c>
    </row>
    <row r="431" spans="1:16" x14ac:dyDescent="0.25">
      <c r="A431" s="2">
        <v>45566</v>
      </c>
      <c r="B431" s="2" t="str">
        <f>TEXT(Table134[[#This Row],[Date]],"MMM")</f>
        <v>Oct</v>
      </c>
      <c r="C431">
        <v>58</v>
      </c>
      <c r="D431">
        <v>13</v>
      </c>
      <c r="E431" s="3">
        <v>368.06</v>
      </c>
      <c r="F431">
        <v>2</v>
      </c>
      <c r="G431" s="6">
        <v>3626.22</v>
      </c>
      <c r="H431" t="s">
        <v>11</v>
      </c>
      <c r="I431" t="s">
        <v>43</v>
      </c>
      <c r="J431" t="str">
        <f>Table134[[#This Row],[First Name]]&amp;" "&amp;Table134[[#This Row],[Last Name]]</f>
        <v>Diana Williams</v>
      </c>
      <c r="K431" t="s">
        <v>45</v>
      </c>
      <c r="L431" s="5">
        <f>Table134[[#This Row],[Calls Reached]]/Table134[[#This Row],[Total Calls]]</f>
        <v>0.22413793103448276</v>
      </c>
      <c r="M431" s="5">
        <f>Table134[[#This Row],[Deals Closed]]/Table134[[#This Row],[Calls Reached]]</f>
        <v>0.15384615384615385</v>
      </c>
      <c r="N431" s="6">
        <f>IFERROR(Table134[[#This Row],[Deal Value ($)]]/Table134[[#This Row],[Deals Closed]],0)</f>
        <v>1813.11</v>
      </c>
      <c r="O431" s="6">
        <f>Table134[[#This Row],[Deal Value ($)]]/Table134[[#This Row],[Total Calls]]</f>
        <v>62.521034482758616</v>
      </c>
      <c r="P431" t="str">
        <f>IF(Table134[[#This Row],[Conversion Rate]]&gt;=20%,"High","Low")</f>
        <v>Low</v>
      </c>
    </row>
    <row r="432" spans="1:16" x14ac:dyDescent="0.25">
      <c r="A432" s="2">
        <v>45566</v>
      </c>
      <c r="B432" s="2" t="str">
        <f>TEXT(Table134[[#This Row],[Date]],"MMM")</f>
        <v>Oct</v>
      </c>
      <c r="C432">
        <v>74</v>
      </c>
      <c r="D432">
        <v>16</v>
      </c>
      <c r="E432" s="3">
        <v>308.51</v>
      </c>
      <c r="F432">
        <v>7</v>
      </c>
      <c r="G432" s="6">
        <v>4267.5</v>
      </c>
      <c r="H432" t="s">
        <v>9</v>
      </c>
      <c r="I432" t="s">
        <v>39</v>
      </c>
      <c r="J432" t="str">
        <f>Table134[[#This Row],[First Name]]&amp;" "&amp;Table134[[#This Row],[Last Name]]</f>
        <v>Evan Jones</v>
      </c>
      <c r="K432" t="s">
        <v>45</v>
      </c>
      <c r="L432" s="5">
        <f>Table134[[#This Row],[Calls Reached]]/Table134[[#This Row],[Total Calls]]</f>
        <v>0.21621621621621623</v>
      </c>
      <c r="M432" s="5">
        <f>Table134[[#This Row],[Deals Closed]]/Table134[[#This Row],[Calls Reached]]</f>
        <v>0.4375</v>
      </c>
      <c r="N432" s="6">
        <f>IFERROR(Table134[[#This Row],[Deal Value ($)]]/Table134[[#This Row],[Deals Closed]],0)</f>
        <v>609.64285714285711</v>
      </c>
      <c r="O432" s="6">
        <f>Table134[[#This Row],[Deal Value ($)]]/Table134[[#This Row],[Total Calls]]</f>
        <v>57.668918918918919</v>
      </c>
      <c r="P432" t="str">
        <f>IF(Table134[[#This Row],[Conversion Rate]]&gt;=20%,"High","Low")</f>
        <v>High</v>
      </c>
    </row>
    <row r="433" spans="1:16" x14ac:dyDescent="0.25">
      <c r="A433" s="2">
        <v>45566</v>
      </c>
      <c r="B433" s="2" t="str">
        <f>TEXT(Table134[[#This Row],[Date]],"MMM")</f>
        <v>Oct</v>
      </c>
      <c r="C433">
        <v>74</v>
      </c>
      <c r="D433">
        <v>15</v>
      </c>
      <c r="E433" s="3">
        <v>460.2</v>
      </c>
      <c r="F433">
        <v>4</v>
      </c>
      <c r="G433" s="6">
        <v>980.1</v>
      </c>
      <c r="H433" t="s">
        <v>13</v>
      </c>
      <c r="I433" t="s">
        <v>40</v>
      </c>
      <c r="J433" t="str">
        <f>Table134[[#This Row],[First Name]]&amp;" "&amp;Table134[[#This Row],[Last Name]]</f>
        <v>Liam Davis</v>
      </c>
      <c r="K433" t="s">
        <v>45</v>
      </c>
      <c r="L433" s="5">
        <f>Table134[[#This Row],[Calls Reached]]/Table134[[#This Row],[Total Calls]]</f>
        <v>0.20270270270270271</v>
      </c>
      <c r="M433" s="5">
        <f>Table134[[#This Row],[Deals Closed]]/Table134[[#This Row],[Calls Reached]]</f>
        <v>0.26666666666666666</v>
      </c>
      <c r="N433" s="6">
        <f>IFERROR(Table134[[#This Row],[Deal Value ($)]]/Table134[[#This Row],[Deals Closed]],0)</f>
        <v>245.02500000000001</v>
      </c>
      <c r="O433" s="6">
        <f>Table134[[#This Row],[Deal Value ($)]]/Table134[[#This Row],[Total Calls]]</f>
        <v>13.244594594594595</v>
      </c>
      <c r="P433" t="str">
        <f>IF(Table134[[#This Row],[Conversion Rate]]&gt;=20%,"High","Low")</f>
        <v>High</v>
      </c>
    </row>
    <row r="434" spans="1:16" x14ac:dyDescent="0.25">
      <c r="A434" s="2">
        <v>45566</v>
      </c>
      <c r="B434" s="2" t="str">
        <f>TEXT(Table134[[#This Row],[Date]],"MMM")</f>
        <v>Oct</v>
      </c>
      <c r="C434">
        <v>17</v>
      </c>
      <c r="D434">
        <v>7</v>
      </c>
      <c r="E434" s="3">
        <v>205.3</v>
      </c>
      <c r="F434">
        <v>4</v>
      </c>
      <c r="G434" s="6">
        <v>762.2</v>
      </c>
      <c r="H434" t="s">
        <v>19</v>
      </c>
      <c r="I434" t="s">
        <v>40</v>
      </c>
      <c r="J434" t="str">
        <f>Table134[[#This Row],[First Name]]&amp;" "&amp;Table134[[#This Row],[Last Name]]</f>
        <v>James Davis</v>
      </c>
      <c r="K434" t="s">
        <v>46</v>
      </c>
      <c r="L434" s="5">
        <f>Table134[[#This Row],[Calls Reached]]/Table134[[#This Row],[Total Calls]]</f>
        <v>0.41176470588235292</v>
      </c>
      <c r="M434" s="5">
        <f>Table134[[#This Row],[Deals Closed]]/Table134[[#This Row],[Calls Reached]]</f>
        <v>0.5714285714285714</v>
      </c>
      <c r="N434" s="6">
        <f>IFERROR(Table134[[#This Row],[Deal Value ($)]]/Table134[[#This Row],[Deals Closed]],0)</f>
        <v>190.55</v>
      </c>
      <c r="O434" s="6">
        <f>Table134[[#This Row],[Deal Value ($)]]/Table134[[#This Row],[Total Calls]]</f>
        <v>44.835294117647059</v>
      </c>
      <c r="P434" t="str">
        <f>IF(Table134[[#This Row],[Conversion Rate]]&gt;=20%,"High","Low")</f>
        <v>High</v>
      </c>
    </row>
    <row r="435" spans="1:16" x14ac:dyDescent="0.25">
      <c r="A435" s="2">
        <v>45566</v>
      </c>
      <c r="B435" s="2" t="str">
        <f>TEXT(Table134[[#This Row],[Date]],"MMM")</f>
        <v>Oct</v>
      </c>
      <c r="C435">
        <v>34</v>
      </c>
      <c r="D435">
        <v>12</v>
      </c>
      <c r="E435" s="3">
        <v>356.4</v>
      </c>
      <c r="F435">
        <v>8</v>
      </c>
      <c r="G435" s="6">
        <v>4111.76</v>
      </c>
      <c r="H435" t="s">
        <v>34</v>
      </c>
      <c r="I435" t="s">
        <v>38</v>
      </c>
      <c r="J435" t="str">
        <f>Table134[[#This Row],[First Name]]&amp;" "&amp;Table134[[#This Row],[Last Name]]</f>
        <v>Mimi Rodriguez</v>
      </c>
      <c r="K435" t="s">
        <v>46</v>
      </c>
      <c r="L435" s="5">
        <f>Table134[[#This Row],[Calls Reached]]/Table134[[#This Row],[Total Calls]]</f>
        <v>0.35294117647058826</v>
      </c>
      <c r="M435" s="5">
        <f>Table134[[#This Row],[Deals Closed]]/Table134[[#This Row],[Calls Reached]]</f>
        <v>0.66666666666666663</v>
      </c>
      <c r="N435" s="6">
        <f>IFERROR(Table134[[#This Row],[Deal Value ($)]]/Table134[[#This Row],[Deals Closed]],0)</f>
        <v>513.97</v>
      </c>
      <c r="O435" s="6">
        <f>Table134[[#This Row],[Deal Value ($)]]/Table134[[#This Row],[Total Calls]]</f>
        <v>120.93411764705883</v>
      </c>
      <c r="P435" t="str">
        <f>IF(Table134[[#This Row],[Conversion Rate]]&gt;=20%,"High","Low")</f>
        <v>High</v>
      </c>
    </row>
    <row r="436" spans="1:16" x14ac:dyDescent="0.25">
      <c r="A436" s="2">
        <v>45566</v>
      </c>
      <c r="B436" s="2" t="str">
        <f>TEXT(Table134[[#This Row],[Date]],"MMM")</f>
        <v>Oct</v>
      </c>
      <c r="C436">
        <v>73</v>
      </c>
      <c r="D436">
        <v>17</v>
      </c>
      <c r="E436" s="3">
        <v>557.29999999999995</v>
      </c>
      <c r="F436">
        <v>3</v>
      </c>
      <c r="G436" s="6">
        <v>376.66</v>
      </c>
      <c r="H436" t="s">
        <v>21</v>
      </c>
      <c r="I436" t="s">
        <v>36</v>
      </c>
      <c r="J436" t="str">
        <f>Table134[[#This Row],[First Name]]&amp;" "&amp;Table134[[#This Row],[Last Name]]</f>
        <v>Paul Smith</v>
      </c>
      <c r="K436" t="s">
        <v>46</v>
      </c>
      <c r="L436" s="5">
        <f>Table134[[#This Row],[Calls Reached]]/Table134[[#This Row],[Total Calls]]</f>
        <v>0.23287671232876711</v>
      </c>
      <c r="M436" s="5">
        <f>Table134[[#This Row],[Deals Closed]]/Table134[[#This Row],[Calls Reached]]</f>
        <v>0.17647058823529413</v>
      </c>
      <c r="N436" s="6">
        <f>IFERROR(Table134[[#This Row],[Deal Value ($)]]/Table134[[#This Row],[Deals Closed]],0)</f>
        <v>125.55333333333334</v>
      </c>
      <c r="O436" s="6">
        <f>Table134[[#This Row],[Deal Value ($)]]/Table134[[#This Row],[Total Calls]]</f>
        <v>5.1597260273972605</v>
      </c>
      <c r="P436" t="str">
        <f>IF(Table134[[#This Row],[Conversion Rate]]&gt;=20%,"High","Low")</f>
        <v>Low</v>
      </c>
    </row>
    <row r="437" spans="1:16" x14ac:dyDescent="0.25">
      <c r="A437" s="2">
        <v>45566</v>
      </c>
      <c r="B437" s="2" t="str">
        <f>TEXT(Table134[[#This Row],[Date]],"MMM")</f>
        <v>Oct</v>
      </c>
      <c r="C437">
        <v>35</v>
      </c>
      <c r="D437">
        <v>6</v>
      </c>
      <c r="E437" s="3">
        <v>544.78</v>
      </c>
      <c r="F437">
        <v>5</v>
      </c>
      <c r="G437" s="6">
        <v>3420.99</v>
      </c>
      <c r="H437" t="s">
        <v>20</v>
      </c>
      <c r="I437" t="s">
        <v>43</v>
      </c>
      <c r="J437" t="str">
        <f>Table134[[#This Row],[First Name]]&amp;" "&amp;Table134[[#This Row],[Last Name]]</f>
        <v>Richard Williams</v>
      </c>
      <c r="K437" t="s">
        <v>46</v>
      </c>
      <c r="L437" s="5">
        <f>Table134[[#This Row],[Calls Reached]]/Table134[[#This Row],[Total Calls]]</f>
        <v>0.17142857142857143</v>
      </c>
      <c r="M437" s="5">
        <f>Table134[[#This Row],[Deals Closed]]/Table134[[#This Row],[Calls Reached]]</f>
        <v>0.83333333333333337</v>
      </c>
      <c r="N437" s="6">
        <f>IFERROR(Table134[[#This Row],[Deal Value ($)]]/Table134[[#This Row],[Deals Closed]],0)</f>
        <v>684.19799999999998</v>
      </c>
      <c r="O437" s="6">
        <f>Table134[[#This Row],[Deal Value ($)]]/Table134[[#This Row],[Total Calls]]</f>
        <v>97.742571428571424</v>
      </c>
      <c r="P437" t="str">
        <f>IF(Table134[[#This Row],[Conversion Rate]]&gt;=20%,"High","Low")</f>
        <v>High</v>
      </c>
    </row>
    <row r="438" spans="1:16" x14ac:dyDescent="0.25">
      <c r="A438" s="2">
        <v>45566</v>
      </c>
      <c r="B438" s="2" t="str">
        <f>TEXT(Table134[[#This Row],[Date]],"MMM")</f>
        <v>Oct</v>
      </c>
      <c r="C438">
        <v>36</v>
      </c>
      <c r="D438">
        <v>10</v>
      </c>
      <c r="E438" s="3">
        <v>535.44000000000005</v>
      </c>
      <c r="F438">
        <v>4</v>
      </c>
      <c r="G438" s="6">
        <v>241.26</v>
      </c>
      <c r="H438" t="s">
        <v>33</v>
      </c>
      <c r="I438" t="s">
        <v>35</v>
      </c>
      <c r="J438" t="str">
        <f>Table134[[#This Row],[First Name]]&amp;" "&amp;Table134[[#This Row],[Last Name]]</f>
        <v>David Garcia</v>
      </c>
      <c r="K438" t="s">
        <v>45</v>
      </c>
      <c r="L438" s="5">
        <f>Table134[[#This Row],[Calls Reached]]/Table134[[#This Row],[Total Calls]]</f>
        <v>0.27777777777777779</v>
      </c>
      <c r="M438" s="5">
        <f>Table134[[#This Row],[Deals Closed]]/Table134[[#This Row],[Calls Reached]]</f>
        <v>0.4</v>
      </c>
      <c r="N438" s="6">
        <f>IFERROR(Table134[[#This Row],[Deal Value ($)]]/Table134[[#This Row],[Deals Closed]],0)</f>
        <v>60.314999999999998</v>
      </c>
      <c r="O438" s="6">
        <f>Table134[[#This Row],[Deal Value ($)]]/Table134[[#This Row],[Total Calls]]</f>
        <v>6.7016666666666662</v>
      </c>
      <c r="P438" t="str">
        <f>IF(Table134[[#This Row],[Conversion Rate]]&gt;=20%,"High","Low")</f>
        <v>High</v>
      </c>
    </row>
    <row r="439" spans="1:16" x14ac:dyDescent="0.25">
      <c r="A439" s="2">
        <v>45566</v>
      </c>
      <c r="B439" s="2" t="str">
        <f>TEXT(Table134[[#This Row],[Date]],"MMM")</f>
        <v>Oct</v>
      </c>
      <c r="C439">
        <v>85</v>
      </c>
      <c r="D439">
        <v>15</v>
      </c>
      <c r="E439" s="3">
        <v>400.65</v>
      </c>
      <c r="F439">
        <v>0</v>
      </c>
      <c r="G439" s="6">
        <v>2890.62</v>
      </c>
      <c r="H439" t="s">
        <v>32</v>
      </c>
      <c r="I439" t="s">
        <v>42</v>
      </c>
      <c r="J439" t="str">
        <f>Table134[[#This Row],[First Name]]&amp;" "&amp;Table134[[#This Row],[Last Name]]</f>
        <v>Craig Martinez</v>
      </c>
      <c r="K439" t="s">
        <v>45</v>
      </c>
      <c r="L439" s="5">
        <f>Table134[[#This Row],[Calls Reached]]/Table134[[#This Row],[Total Calls]]</f>
        <v>0.17647058823529413</v>
      </c>
      <c r="M439" s="5">
        <f>Table134[[#This Row],[Deals Closed]]/Table134[[#This Row],[Calls Reached]]</f>
        <v>0</v>
      </c>
      <c r="N439" s="6">
        <f>IFERROR(Table134[[#This Row],[Deal Value ($)]]/Table134[[#This Row],[Deals Closed]],0)</f>
        <v>0</v>
      </c>
      <c r="O439" s="6">
        <f>Table134[[#This Row],[Deal Value ($)]]/Table134[[#This Row],[Total Calls]]</f>
        <v>34.007294117647056</v>
      </c>
      <c r="P439" t="str">
        <f>IF(Table134[[#This Row],[Conversion Rate]]&gt;=20%,"High","Low")</f>
        <v>Low</v>
      </c>
    </row>
    <row r="440" spans="1:16" x14ac:dyDescent="0.25">
      <c r="A440" s="2">
        <v>45566</v>
      </c>
      <c r="B440" s="2" t="str">
        <f>TEXT(Table134[[#This Row],[Date]],"MMM")</f>
        <v>Oct</v>
      </c>
      <c r="C440">
        <v>63</v>
      </c>
      <c r="D440">
        <v>10</v>
      </c>
      <c r="E440" s="3">
        <v>194.21</v>
      </c>
      <c r="F440">
        <v>7</v>
      </c>
      <c r="G440" s="6">
        <v>508.84</v>
      </c>
      <c r="H440" t="s">
        <v>31</v>
      </c>
      <c r="I440" t="s">
        <v>43</v>
      </c>
      <c r="J440" t="str">
        <f>Table134[[#This Row],[First Name]]&amp;" "&amp;Table134[[#This Row],[Last Name]]</f>
        <v>Josh Williams</v>
      </c>
      <c r="K440" t="s">
        <v>45</v>
      </c>
      <c r="L440" s="5">
        <f>Table134[[#This Row],[Calls Reached]]/Table134[[#This Row],[Total Calls]]</f>
        <v>0.15873015873015872</v>
      </c>
      <c r="M440" s="5">
        <f>Table134[[#This Row],[Deals Closed]]/Table134[[#This Row],[Calls Reached]]</f>
        <v>0.7</v>
      </c>
      <c r="N440" s="6">
        <f>IFERROR(Table134[[#This Row],[Deal Value ($)]]/Table134[[#This Row],[Deals Closed]],0)</f>
        <v>72.691428571428574</v>
      </c>
      <c r="O440" s="6">
        <f>Table134[[#This Row],[Deal Value ($)]]/Table134[[#This Row],[Total Calls]]</f>
        <v>8.0768253968253969</v>
      </c>
      <c r="P440" t="str">
        <f>IF(Table134[[#This Row],[Conversion Rate]]&gt;=20%,"High","Low")</f>
        <v>High</v>
      </c>
    </row>
    <row r="441" spans="1:16" x14ac:dyDescent="0.25">
      <c r="A441" s="2">
        <v>45566</v>
      </c>
      <c r="B441" s="2" t="str">
        <f>TEXT(Table134[[#This Row],[Date]],"MMM")</f>
        <v>Oct</v>
      </c>
      <c r="C441">
        <v>108</v>
      </c>
      <c r="D441">
        <v>6</v>
      </c>
      <c r="E441" s="3">
        <v>515.27</v>
      </c>
      <c r="F441">
        <v>2</v>
      </c>
      <c r="G441" s="6">
        <v>3183.87</v>
      </c>
      <c r="H441" t="s">
        <v>30</v>
      </c>
      <c r="I441" t="s">
        <v>41</v>
      </c>
      <c r="J441" t="str">
        <f>Table134[[#This Row],[First Name]]&amp;" "&amp;Table134[[#This Row],[Last Name]]</f>
        <v>Emma Miller</v>
      </c>
      <c r="K441" t="s">
        <v>46</v>
      </c>
      <c r="L441" s="5">
        <f>Table134[[#This Row],[Calls Reached]]/Table134[[#This Row],[Total Calls]]</f>
        <v>5.5555555555555552E-2</v>
      </c>
      <c r="M441" s="5">
        <f>Table134[[#This Row],[Deals Closed]]/Table134[[#This Row],[Calls Reached]]</f>
        <v>0.33333333333333331</v>
      </c>
      <c r="N441" s="6">
        <f>IFERROR(Table134[[#This Row],[Deal Value ($)]]/Table134[[#This Row],[Deals Closed]],0)</f>
        <v>1591.9349999999999</v>
      </c>
      <c r="O441" s="6">
        <f>Table134[[#This Row],[Deal Value ($)]]/Table134[[#This Row],[Total Calls]]</f>
        <v>29.480277777777776</v>
      </c>
      <c r="P441" t="str">
        <f>IF(Table134[[#This Row],[Conversion Rate]]&gt;=20%,"High","Low")</f>
        <v>High</v>
      </c>
    </row>
    <row r="442" spans="1:16" x14ac:dyDescent="0.25">
      <c r="A442" s="2">
        <v>45566</v>
      </c>
      <c r="B442" s="2" t="str">
        <f>TEXT(Table134[[#This Row],[Date]],"MMM")</f>
        <v>Oct</v>
      </c>
      <c r="C442">
        <v>21</v>
      </c>
      <c r="D442">
        <v>15</v>
      </c>
      <c r="E442" s="3">
        <v>309.75</v>
      </c>
      <c r="F442">
        <v>2</v>
      </c>
      <c r="G442" s="6">
        <v>1649.09</v>
      </c>
      <c r="H442" t="s">
        <v>29</v>
      </c>
      <c r="I442" t="s">
        <v>43</v>
      </c>
      <c r="J442" t="str">
        <f>Table134[[#This Row],[First Name]]&amp;" "&amp;Table134[[#This Row],[Last Name]]</f>
        <v>Grace Williams</v>
      </c>
      <c r="K442" t="s">
        <v>45</v>
      </c>
      <c r="L442" s="5">
        <f>Table134[[#This Row],[Calls Reached]]/Table134[[#This Row],[Total Calls]]</f>
        <v>0.7142857142857143</v>
      </c>
      <c r="M442" s="5">
        <f>Table134[[#This Row],[Deals Closed]]/Table134[[#This Row],[Calls Reached]]</f>
        <v>0.13333333333333333</v>
      </c>
      <c r="N442" s="6">
        <f>IFERROR(Table134[[#This Row],[Deal Value ($)]]/Table134[[#This Row],[Deals Closed]],0)</f>
        <v>824.54499999999996</v>
      </c>
      <c r="O442" s="6">
        <f>Table134[[#This Row],[Deal Value ($)]]/Table134[[#This Row],[Total Calls]]</f>
        <v>78.528095238095233</v>
      </c>
      <c r="P442" t="str">
        <f>IF(Table134[[#This Row],[Conversion Rate]]&gt;=20%,"High","Low")</f>
        <v>Low</v>
      </c>
    </row>
    <row r="443" spans="1:16" x14ac:dyDescent="0.25">
      <c r="A443" s="2">
        <v>45566</v>
      </c>
      <c r="B443" s="2" t="str">
        <f>TEXT(Table134[[#This Row],[Date]],"MMM")</f>
        <v>Oct</v>
      </c>
      <c r="C443">
        <v>72</v>
      </c>
      <c r="D443">
        <v>10</v>
      </c>
      <c r="E443" s="3">
        <v>362.58</v>
      </c>
      <c r="F443">
        <v>5</v>
      </c>
      <c r="G443" s="6">
        <v>3679.65</v>
      </c>
      <c r="H443" t="s">
        <v>10</v>
      </c>
      <c r="I443" t="s">
        <v>39</v>
      </c>
      <c r="J443" t="str">
        <f>Table134[[#This Row],[First Name]]&amp;" "&amp;Table134[[#This Row],[Last Name]]</f>
        <v>Alice Jones</v>
      </c>
      <c r="K443" t="s">
        <v>45</v>
      </c>
      <c r="L443" s="5">
        <f>Table134[[#This Row],[Calls Reached]]/Table134[[#This Row],[Total Calls]]</f>
        <v>0.1388888888888889</v>
      </c>
      <c r="M443" s="5">
        <f>Table134[[#This Row],[Deals Closed]]/Table134[[#This Row],[Calls Reached]]</f>
        <v>0.5</v>
      </c>
      <c r="N443" s="6">
        <f>IFERROR(Table134[[#This Row],[Deal Value ($)]]/Table134[[#This Row],[Deals Closed]],0)</f>
        <v>735.93000000000006</v>
      </c>
      <c r="O443" s="6">
        <f>Table134[[#This Row],[Deal Value ($)]]/Table134[[#This Row],[Total Calls]]</f>
        <v>51.106250000000003</v>
      </c>
      <c r="P443" t="str">
        <f>IF(Table134[[#This Row],[Conversion Rate]]&gt;=20%,"High","Low")</f>
        <v>High</v>
      </c>
    </row>
    <row r="444" spans="1:16" x14ac:dyDescent="0.25">
      <c r="A444" s="2">
        <v>45566</v>
      </c>
      <c r="B444" s="2" t="str">
        <f>TEXT(Table134[[#This Row],[Date]],"MMM")</f>
        <v>Oct</v>
      </c>
      <c r="C444">
        <v>104</v>
      </c>
      <c r="D444">
        <v>20</v>
      </c>
      <c r="E444" s="3">
        <v>181.9</v>
      </c>
      <c r="F444">
        <v>4</v>
      </c>
      <c r="G444" s="6">
        <v>400.92</v>
      </c>
      <c r="H444" t="s">
        <v>27</v>
      </c>
      <c r="I444" t="s">
        <v>40</v>
      </c>
      <c r="J444" t="str">
        <f>Table134[[#This Row],[First Name]]&amp;" "&amp;Table134[[#This Row],[Last Name]]</f>
        <v>Will Davis</v>
      </c>
      <c r="K444" t="s">
        <v>46</v>
      </c>
      <c r="L444" s="5">
        <f>Table134[[#This Row],[Calls Reached]]/Table134[[#This Row],[Total Calls]]</f>
        <v>0.19230769230769232</v>
      </c>
      <c r="M444" s="5">
        <f>Table134[[#This Row],[Deals Closed]]/Table134[[#This Row],[Calls Reached]]</f>
        <v>0.2</v>
      </c>
      <c r="N444" s="6">
        <f>IFERROR(Table134[[#This Row],[Deal Value ($)]]/Table134[[#This Row],[Deals Closed]],0)</f>
        <v>100.23</v>
      </c>
      <c r="O444" s="6">
        <f>Table134[[#This Row],[Deal Value ($)]]/Table134[[#This Row],[Total Calls]]</f>
        <v>3.855</v>
      </c>
      <c r="P444" t="str">
        <f>IF(Table134[[#This Row],[Conversion Rate]]&gt;=20%,"High","Low")</f>
        <v>High</v>
      </c>
    </row>
    <row r="445" spans="1:16" x14ac:dyDescent="0.25">
      <c r="A445" s="2">
        <v>45566</v>
      </c>
      <c r="B445" s="2" t="str">
        <f>TEXT(Table134[[#This Row],[Date]],"MMM")</f>
        <v>Oct</v>
      </c>
      <c r="C445">
        <v>21</v>
      </c>
      <c r="D445">
        <v>14</v>
      </c>
      <c r="E445" s="3">
        <v>537.36</v>
      </c>
      <c r="F445">
        <v>7</v>
      </c>
      <c r="G445" s="6">
        <v>3767.78</v>
      </c>
      <c r="H445" t="s">
        <v>26</v>
      </c>
      <c r="I445" t="s">
        <v>39</v>
      </c>
      <c r="J445" t="str">
        <f>Table134[[#This Row],[First Name]]&amp;" "&amp;Table134[[#This Row],[Last Name]]</f>
        <v>Darren Jones</v>
      </c>
      <c r="K445" t="s">
        <v>46</v>
      </c>
      <c r="L445" s="5">
        <f>Table134[[#This Row],[Calls Reached]]/Table134[[#This Row],[Total Calls]]</f>
        <v>0.66666666666666663</v>
      </c>
      <c r="M445" s="5">
        <f>Table134[[#This Row],[Deals Closed]]/Table134[[#This Row],[Calls Reached]]</f>
        <v>0.5</v>
      </c>
      <c r="N445" s="6">
        <f>IFERROR(Table134[[#This Row],[Deal Value ($)]]/Table134[[#This Row],[Deals Closed]],0)</f>
        <v>538.25428571428574</v>
      </c>
      <c r="O445" s="6">
        <f>Table134[[#This Row],[Deal Value ($)]]/Table134[[#This Row],[Total Calls]]</f>
        <v>179.41809523809525</v>
      </c>
      <c r="P445" t="str">
        <f>IF(Table134[[#This Row],[Conversion Rate]]&gt;=20%,"High","Low")</f>
        <v>High</v>
      </c>
    </row>
    <row r="446" spans="1:16" x14ac:dyDescent="0.25">
      <c r="A446" s="2">
        <v>45566</v>
      </c>
      <c r="B446" s="2" t="str">
        <f>TEXT(Table134[[#This Row],[Date]],"MMM")</f>
        <v>Oct</v>
      </c>
      <c r="C446">
        <v>102</v>
      </c>
      <c r="D446">
        <v>5</v>
      </c>
      <c r="E446" s="3">
        <v>86.37</v>
      </c>
      <c r="F446">
        <v>5</v>
      </c>
      <c r="G446" s="6">
        <v>3851.19</v>
      </c>
      <c r="H446" t="s">
        <v>25</v>
      </c>
      <c r="I446" t="s">
        <v>41</v>
      </c>
      <c r="J446" t="str">
        <f>Table134[[#This Row],[First Name]]&amp;" "&amp;Table134[[#This Row],[Last Name]]</f>
        <v>Karol Miller</v>
      </c>
      <c r="K446" t="s">
        <v>46</v>
      </c>
      <c r="L446" s="5">
        <f>Table134[[#This Row],[Calls Reached]]/Table134[[#This Row],[Total Calls]]</f>
        <v>4.9019607843137254E-2</v>
      </c>
      <c r="M446" s="5">
        <f>Table134[[#This Row],[Deals Closed]]/Table134[[#This Row],[Calls Reached]]</f>
        <v>1</v>
      </c>
      <c r="N446" s="6">
        <f>IFERROR(Table134[[#This Row],[Deal Value ($)]]/Table134[[#This Row],[Deals Closed]],0)</f>
        <v>770.23800000000006</v>
      </c>
      <c r="O446" s="6">
        <f>Table134[[#This Row],[Deal Value ($)]]/Table134[[#This Row],[Total Calls]]</f>
        <v>37.756764705882354</v>
      </c>
      <c r="P446" t="str">
        <f>IF(Table134[[#This Row],[Conversion Rate]]&gt;=20%,"High","Low")</f>
        <v>High</v>
      </c>
    </row>
    <row r="447" spans="1:16" x14ac:dyDescent="0.25">
      <c r="A447" s="2">
        <v>45566</v>
      </c>
      <c r="B447" s="2" t="str">
        <f>TEXT(Table134[[#This Row],[Date]],"MMM")</f>
        <v>Oct</v>
      </c>
      <c r="C447">
        <v>106</v>
      </c>
      <c r="D447">
        <v>5</v>
      </c>
      <c r="E447" s="3">
        <v>163.38</v>
      </c>
      <c r="F447">
        <v>1</v>
      </c>
      <c r="G447" s="6">
        <v>1148.1400000000001</v>
      </c>
      <c r="H447" t="s">
        <v>24</v>
      </c>
      <c r="I447" t="s">
        <v>42</v>
      </c>
      <c r="J447" t="str">
        <f>Table134[[#This Row],[First Name]]&amp;" "&amp;Table134[[#This Row],[Last Name]]</f>
        <v>Alex Martinez</v>
      </c>
      <c r="K447" t="s">
        <v>46</v>
      </c>
      <c r="L447" s="5">
        <f>Table134[[#This Row],[Calls Reached]]/Table134[[#This Row],[Total Calls]]</f>
        <v>4.716981132075472E-2</v>
      </c>
      <c r="M447" s="5">
        <f>Table134[[#This Row],[Deals Closed]]/Table134[[#This Row],[Calls Reached]]</f>
        <v>0.2</v>
      </c>
      <c r="N447" s="6">
        <f>IFERROR(Table134[[#This Row],[Deal Value ($)]]/Table134[[#This Row],[Deals Closed]],0)</f>
        <v>1148.1400000000001</v>
      </c>
      <c r="O447" s="6">
        <f>Table134[[#This Row],[Deal Value ($)]]/Table134[[#This Row],[Total Calls]]</f>
        <v>10.831509433962266</v>
      </c>
      <c r="P447" t="str">
        <f>IF(Table134[[#This Row],[Conversion Rate]]&gt;=20%,"High","Low")</f>
        <v>High</v>
      </c>
    </row>
    <row r="448" spans="1:16" x14ac:dyDescent="0.25">
      <c r="A448" s="2">
        <v>45566</v>
      </c>
      <c r="B448" s="2" t="str">
        <f>TEXT(Table134[[#This Row],[Date]],"MMM")</f>
        <v>Oct</v>
      </c>
      <c r="C448">
        <v>49</v>
      </c>
      <c r="D448">
        <v>7</v>
      </c>
      <c r="E448" s="3">
        <v>204.14</v>
      </c>
      <c r="F448">
        <v>3</v>
      </c>
      <c r="G448" s="6">
        <v>636.65</v>
      </c>
      <c r="H448" t="s">
        <v>23</v>
      </c>
      <c r="I448" t="s">
        <v>38</v>
      </c>
      <c r="J448" t="str">
        <f>Table134[[#This Row],[First Name]]&amp;" "&amp;Table134[[#This Row],[Last Name]]</f>
        <v>Melissa Rodriguez</v>
      </c>
      <c r="K448" t="s">
        <v>45</v>
      </c>
      <c r="L448" s="5">
        <f>Table134[[#This Row],[Calls Reached]]/Table134[[#This Row],[Total Calls]]</f>
        <v>0.14285714285714285</v>
      </c>
      <c r="M448" s="5">
        <f>Table134[[#This Row],[Deals Closed]]/Table134[[#This Row],[Calls Reached]]</f>
        <v>0.42857142857142855</v>
      </c>
      <c r="N448" s="6">
        <f>IFERROR(Table134[[#This Row],[Deal Value ($)]]/Table134[[#This Row],[Deals Closed]],0)</f>
        <v>212.21666666666667</v>
      </c>
      <c r="O448" s="6">
        <f>Table134[[#This Row],[Deal Value ($)]]/Table134[[#This Row],[Total Calls]]</f>
        <v>12.992857142857142</v>
      </c>
      <c r="P448" t="str">
        <f>IF(Table134[[#This Row],[Conversion Rate]]&gt;=20%,"High","Low")</f>
        <v>High</v>
      </c>
    </row>
    <row r="449" spans="1:16" x14ac:dyDescent="0.25">
      <c r="A449" s="2">
        <v>45566</v>
      </c>
      <c r="B449" s="2" t="str">
        <f>TEXT(Table134[[#This Row],[Date]],"MMM")</f>
        <v>Oct</v>
      </c>
      <c r="C449">
        <v>64</v>
      </c>
      <c r="D449">
        <v>15</v>
      </c>
      <c r="E449" s="3">
        <v>514.38</v>
      </c>
      <c r="F449">
        <v>0</v>
      </c>
      <c r="G449" s="6">
        <v>1220.5899999999999</v>
      </c>
      <c r="H449" t="s">
        <v>28</v>
      </c>
      <c r="I449" t="s">
        <v>39</v>
      </c>
      <c r="J449" t="str">
        <f>Table134[[#This Row],[First Name]]&amp;" "&amp;Table134[[#This Row],[Last Name]]</f>
        <v>Vicky Jones</v>
      </c>
      <c r="K449" t="s">
        <v>45</v>
      </c>
      <c r="L449" s="5">
        <f>Table134[[#This Row],[Calls Reached]]/Table134[[#This Row],[Total Calls]]</f>
        <v>0.234375</v>
      </c>
      <c r="M449" s="5">
        <f>Table134[[#This Row],[Deals Closed]]/Table134[[#This Row],[Calls Reached]]</f>
        <v>0</v>
      </c>
      <c r="N449" s="6">
        <f>IFERROR(Table134[[#This Row],[Deal Value ($)]]/Table134[[#This Row],[Deals Closed]],0)</f>
        <v>0</v>
      </c>
      <c r="O449" s="6">
        <f>Table134[[#This Row],[Deal Value ($)]]/Table134[[#This Row],[Total Calls]]</f>
        <v>19.071718749999999</v>
      </c>
      <c r="P449" t="str">
        <f>IF(Table134[[#This Row],[Conversion Rate]]&gt;=20%,"High","Low")</f>
        <v>Low</v>
      </c>
    </row>
    <row r="450" spans="1:16" x14ac:dyDescent="0.25">
      <c r="A450" s="2">
        <v>45566</v>
      </c>
      <c r="B450" s="2" t="str">
        <f>TEXT(Table134[[#This Row],[Date]],"MMM")</f>
        <v>Oct</v>
      </c>
      <c r="C450">
        <v>27</v>
      </c>
      <c r="D450">
        <v>6</v>
      </c>
      <c r="E450" s="3">
        <v>202.37</v>
      </c>
      <c r="F450">
        <v>1</v>
      </c>
      <c r="G450" s="6">
        <v>3781.81</v>
      </c>
      <c r="H450" t="s">
        <v>22</v>
      </c>
      <c r="I450" t="s">
        <v>44</v>
      </c>
      <c r="J450" t="str">
        <f>Table134[[#This Row],[First Name]]&amp;" "&amp;Table134[[#This Row],[Last Name]]</f>
        <v>Ian Brown</v>
      </c>
      <c r="K450" t="s">
        <v>45</v>
      </c>
      <c r="L450" s="5">
        <f>Table134[[#This Row],[Calls Reached]]/Table134[[#This Row],[Total Calls]]</f>
        <v>0.22222222222222221</v>
      </c>
      <c r="M450" s="5">
        <f>Table134[[#This Row],[Deals Closed]]/Table134[[#This Row],[Calls Reached]]</f>
        <v>0.16666666666666666</v>
      </c>
      <c r="N450" s="6">
        <f>IFERROR(Table134[[#This Row],[Deal Value ($)]]/Table134[[#This Row],[Deals Closed]],0)</f>
        <v>3781.81</v>
      </c>
      <c r="O450" s="6">
        <f>Table134[[#This Row],[Deal Value ($)]]/Table134[[#This Row],[Total Calls]]</f>
        <v>140.06703703703704</v>
      </c>
      <c r="P450" t="str">
        <f>IF(Table134[[#This Row],[Conversion Rate]]&gt;=20%,"High","Low")</f>
        <v>Low</v>
      </c>
    </row>
    <row r="451" spans="1:16" x14ac:dyDescent="0.25">
      <c r="A451" s="2">
        <v>45567</v>
      </c>
      <c r="B451" s="2" t="str">
        <f>TEXT(Table134[[#This Row],[Date]],"MMM")</f>
        <v>Oct</v>
      </c>
      <c r="C451">
        <v>52</v>
      </c>
      <c r="D451">
        <v>25</v>
      </c>
      <c r="E451" s="3">
        <v>164.02291947888619</v>
      </c>
      <c r="F451">
        <v>39</v>
      </c>
      <c r="G451" s="6">
        <v>3761.450471879426</v>
      </c>
      <c r="H451" t="s">
        <v>34</v>
      </c>
      <c r="I451" t="s">
        <v>35</v>
      </c>
      <c r="J451" t="str">
        <f>Table134[[#This Row],[First Name]]&amp;" "&amp;Table134[[#This Row],[Last Name]]</f>
        <v>Mimi Garcia</v>
      </c>
      <c r="K451" t="s">
        <v>45</v>
      </c>
      <c r="L451" s="5">
        <f>Table134[[#This Row],[Calls Reached]]/Table134[[#This Row],[Total Calls]]</f>
        <v>0.48076923076923078</v>
      </c>
      <c r="M451" s="5">
        <f>Table134[[#This Row],[Deals Closed]]/Table134[[#This Row],[Calls Reached]]</f>
        <v>1.56</v>
      </c>
      <c r="N451" s="6">
        <f>IFERROR(Table134[[#This Row],[Deal Value ($)]]/Table134[[#This Row],[Deals Closed]],0)</f>
        <v>96.447447996908366</v>
      </c>
      <c r="O451" s="6">
        <f>Table134[[#This Row],[Deal Value ($)]]/Table134[[#This Row],[Total Calls]]</f>
        <v>72.335585997681264</v>
      </c>
      <c r="P451" t="str">
        <f>IF(Table134[[#This Row],[Conversion Rate]]&gt;=20%,"High","Low")</f>
        <v>High</v>
      </c>
    </row>
    <row r="452" spans="1:16" x14ac:dyDescent="0.25">
      <c r="A452" s="2">
        <v>45568</v>
      </c>
      <c r="B452" s="2" t="str">
        <f>TEXT(Table134[[#This Row],[Date]],"MMM")</f>
        <v>Oct</v>
      </c>
      <c r="C452">
        <v>88</v>
      </c>
      <c r="D452">
        <v>57</v>
      </c>
      <c r="E452" s="3">
        <v>175.95134675614719</v>
      </c>
      <c r="F452">
        <v>17</v>
      </c>
      <c r="G452" s="6">
        <v>794.10353359524061</v>
      </c>
      <c r="H452" t="s">
        <v>10</v>
      </c>
      <c r="I452" t="s">
        <v>43</v>
      </c>
      <c r="J452" t="str">
        <f>Table134[[#This Row],[First Name]]&amp;" "&amp;Table134[[#This Row],[Last Name]]</f>
        <v>Alice Williams</v>
      </c>
      <c r="K452" t="s">
        <v>46</v>
      </c>
      <c r="L452" s="5">
        <f>Table134[[#This Row],[Calls Reached]]/Table134[[#This Row],[Total Calls]]</f>
        <v>0.64772727272727271</v>
      </c>
      <c r="M452" s="5">
        <f>Table134[[#This Row],[Deals Closed]]/Table134[[#This Row],[Calls Reached]]</f>
        <v>0.2982456140350877</v>
      </c>
      <c r="N452" s="6">
        <f>IFERROR(Table134[[#This Row],[Deal Value ($)]]/Table134[[#This Row],[Deals Closed]],0)</f>
        <v>46.71197256442592</v>
      </c>
      <c r="O452" s="6">
        <f>Table134[[#This Row],[Deal Value ($)]]/Table134[[#This Row],[Total Calls]]</f>
        <v>9.023903790855007</v>
      </c>
      <c r="P452" t="str">
        <f>IF(Table134[[#This Row],[Conversion Rate]]&gt;=20%,"High","Low")</f>
        <v>High</v>
      </c>
    </row>
    <row r="453" spans="1:16" x14ac:dyDescent="0.25">
      <c r="A453" s="2">
        <v>45569</v>
      </c>
      <c r="B453" s="2" t="str">
        <f>TEXT(Table134[[#This Row],[Date]],"MMM")</f>
        <v>Oct</v>
      </c>
      <c r="C453">
        <v>55</v>
      </c>
      <c r="D453">
        <v>48</v>
      </c>
      <c r="E453" s="3">
        <v>169.41358632470511</v>
      </c>
      <c r="F453">
        <v>24</v>
      </c>
      <c r="G453" s="6">
        <v>1918.806520237747</v>
      </c>
      <c r="H453" t="s">
        <v>12</v>
      </c>
      <c r="I453" t="s">
        <v>37</v>
      </c>
      <c r="J453" t="str">
        <f>Table134[[#This Row],[First Name]]&amp;" "&amp;Table134[[#This Row],[Last Name]]</f>
        <v>Jake Johnson</v>
      </c>
      <c r="K453" t="s">
        <v>46</v>
      </c>
      <c r="L453" s="5">
        <f>Table134[[#This Row],[Calls Reached]]/Table134[[#This Row],[Total Calls]]</f>
        <v>0.87272727272727268</v>
      </c>
      <c r="M453" s="5">
        <f>Table134[[#This Row],[Deals Closed]]/Table134[[#This Row],[Calls Reached]]</f>
        <v>0.5</v>
      </c>
      <c r="N453" s="6">
        <f>IFERROR(Table134[[#This Row],[Deal Value ($)]]/Table134[[#This Row],[Deals Closed]],0)</f>
        <v>79.950271676572797</v>
      </c>
      <c r="O453" s="6">
        <f>Table134[[#This Row],[Deal Value ($)]]/Table134[[#This Row],[Total Calls]]</f>
        <v>34.887391277049943</v>
      </c>
      <c r="P453" t="str">
        <f>IF(Table134[[#This Row],[Conversion Rate]]&gt;=20%,"High","Low")</f>
        <v>High</v>
      </c>
    </row>
    <row r="454" spans="1:16" x14ac:dyDescent="0.25">
      <c r="A454" s="2">
        <v>45572</v>
      </c>
      <c r="B454" s="2" t="str">
        <f>TEXT(Table134[[#This Row],[Date]],"MMM")</f>
        <v>Oct</v>
      </c>
      <c r="C454">
        <v>57</v>
      </c>
      <c r="D454">
        <v>42</v>
      </c>
      <c r="E454" s="3">
        <v>420.43737240160732</v>
      </c>
      <c r="F454">
        <v>32</v>
      </c>
      <c r="G454" s="6">
        <v>2927.7108156890181</v>
      </c>
      <c r="H454" t="s">
        <v>9</v>
      </c>
      <c r="I454" t="s">
        <v>43</v>
      </c>
      <c r="J454" t="str">
        <f>Table134[[#This Row],[First Name]]&amp;" "&amp;Table134[[#This Row],[Last Name]]</f>
        <v>Evan Williams</v>
      </c>
      <c r="K454" t="s">
        <v>46</v>
      </c>
      <c r="L454" s="5">
        <f>Table134[[#This Row],[Calls Reached]]/Table134[[#This Row],[Total Calls]]</f>
        <v>0.73684210526315785</v>
      </c>
      <c r="M454" s="5">
        <f>Table134[[#This Row],[Deals Closed]]/Table134[[#This Row],[Calls Reached]]</f>
        <v>0.76190476190476186</v>
      </c>
      <c r="N454" s="6">
        <f>IFERROR(Table134[[#This Row],[Deal Value ($)]]/Table134[[#This Row],[Deals Closed]],0)</f>
        <v>91.490962990281815</v>
      </c>
      <c r="O454" s="6">
        <f>Table134[[#This Row],[Deal Value ($)]]/Table134[[#This Row],[Total Calls]]</f>
        <v>51.363347643666984</v>
      </c>
      <c r="P454" t="str">
        <f>IF(Table134[[#This Row],[Conversion Rate]]&gt;=20%,"High","Low")</f>
        <v>High</v>
      </c>
    </row>
    <row r="455" spans="1:16" x14ac:dyDescent="0.25">
      <c r="A455" s="2">
        <v>45573</v>
      </c>
      <c r="B455" s="2" t="str">
        <f>TEXT(Table134[[#This Row],[Date]],"MMM")</f>
        <v>Oct</v>
      </c>
      <c r="C455">
        <v>76</v>
      </c>
      <c r="D455">
        <v>32</v>
      </c>
      <c r="E455" s="3">
        <v>190.94004219957239</v>
      </c>
      <c r="F455">
        <v>39</v>
      </c>
      <c r="G455" s="6">
        <v>4058.2542417753361</v>
      </c>
      <c r="H455" t="s">
        <v>48</v>
      </c>
      <c r="I455" t="s">
        <v>38</v>
      </c>
      <c r="J455" t="str">
        <f>Table134[[#This Row],[First Name]]&amp;" "&amp;Table134[[#This Row],[Last Name]]</f>
        <v>Anna Rodriguez</v>
      </c>
      <c r="K455" t="s">
        <v>46</v>
      </c>
      <c r="L455" s="5">
        <f>Table134[[#This Row],[Calls Reached]]/Table134[[#This Row],[Total Calls]]</f>
        <v>0.42105263157894735</v>
      </c>
      <c r="M455" s="5">
        <f>Table134[[#This Row],[Deals Closed]]/Table134[[#This Row],[Calls Reached]]</f>
        <v>1.21875</v>
      </c>
      <c r="N455" s="6">
        <f>IFERROR(Table134[[#This Row],[Deal Value ($)]]/Table134[[#This Row],[Deals Closed]],0)</f>
        <v>104.05780107116246</v>
      </c>
      <c r="O455" s="6">
        <f>Table134[[#This Row],[Deal Value ($)]]/Table134[[#This Row],[Total Calls]]</f>
        <v>53.398082128622846</v>
      </c>
      <c r="P455" t="str">
        <f>IF(Table134[[#This Row],[Conversion Rate]]&gt;=20%,"High","Low")</f>
        <v>High</v>
      </c>
    </row>
    <row r="456" spans="1:16" x14ac:dyDescent="0.25">
      <c r="A456" s="2">
        <v>45574</v>
      </c>
      <c r="B456" s="2" t="str">
        <f>TEXT(Table134[[#This Row],[Date]],"MMM")</f>
        <v>Oct</v>
      </c>
      <c r="C456">
        <v>58</v>
      </c>
      <c r="D456">
        <v>19</v>
      </c>
      <c r="E456" s="3">
        <v>272.83364166193161</v>
      </c>
      <c r="F456">
        <v>11</v>
      </c>
      <c r="G456" s="6">
        <v>1934.386263194315</v>
      </c>
      <c r="H456" t="s">
        <v>48</v>
      </c>
      <c r="I456" t="s">
        <v>42</v>
      </c>
      <c r="J456" t="str">
        <f>Table134[[#This Row],[First Name]]&amp;" "&amp;Table134[[#This Row],[Last Name]]</f>
        <v>Anna Martinez</v>
      </c>
      <c r="K456" t="s">
        <v>45</v>
      </c>
      <c r="L456" s="5">
        <f>Table134[[#This Row],[Calls Reached]]/Table134[[#This Row],[Total Calls]]</f>
        <v>0.32758620689655171</v>
      </c>
      <c r="M456" s="5">
        <f>Table134[[#This Row],[Deals Closed]]/Table134[[#This Row],[Calls Reached]]</f>
        <v>0.57894736842105265</v>
      </c>
      <c r="N456" s="6">
        <f>IFERROR(Table134[[#This Row],[Deal Value ($)]]/Table134[[#This Row],[Deals Closed]],0)</f>
        <v>175.85329665402864</v>
      </c>
      <c r="O456" s="6">
        <f>Table134[[#This Row],[Deal Value ($)]]/Table134[[#This Row],[Total Calls]]</f>
        <v>33.351487296453705</v>
      </c>
      <c r="P456" t="str">
        <f>IF(Table134[[#This Row],[Conversion Rate]]&gt;=20%,"High","Low")</f>
        <v>High</v>
      </c>
    </row>
    <row r="457" spans="1:16" x14ac:dyDescent="0.25">
      <c r="A457" s="2">
        <v>45575</v>
      </c>
      <c r="B457" s="2" t="str">
        <f>TEXT(Table134[[#This Row],[Date]],"MMM")</f>
        <v>Oct</v>
      </c>
      <c r="C457">
        <v>86</v>
      </c>
      <c r="D457">
        <v>78</v>
      </c>
      <c r="E457" s="3">
        <v>548.3942049530059</v>
      </c>
      <c r="F457">
        <v>35</v>
      </c>
      <c r="G457" s="6">
        <v>3316.5111939665412</v>
      </c>
      <c r="H457" t="s">
        <v>18</v>
      </c>
      <c r="I457" t="s">
        <v>44</v>
      </c>
      <c r="J457" t="str">
        <f>Table134[[#This Row],[First Name]]&amp;" "&amp;Table134[[#This Row],[Last Name]]</f>
        <v>Chris Brown</v>
      </c>
      <c r="K457" t="s">
        <v>46</v>
      </c>
      <c r="L457" s="5">
        <f>Table134[[#This Row],[Calls Reached]]/Table134[[#This Row],[Total Calls]]</f>
        <v>0.90697674418604646</v>
      </c>
      <c r="M457" s="5">
        <f>Table134[[#This Row],[Deals Closed]]/Table134[[#This Row],[Calls Reached]]</f>
        <v>0.44871794871794873</v>
      </c>
      <c r="N457" s="6">
        <f>IFERROR(Table134[[#This Row],[Deal Value ($)]]/Table134[[#This Row],[Deals Closed]],0)</f>
        <v>94.757462684758323</v>
      </c>
      <c r="O457" s="6">
        <f>Table134[[#This Row],[Deal Value ($)]]/Table134[[#This Row],[Total Calls]]</f>
        <v>38.564083650773732</v>
      </c>
      <c r="P457" t="str">
        <f>IF(Table134[[#This Row],[Conversion Rate]]&gt;=20%,"High","Low")</f>
        <v>High</v>
      </c>
    </row>
    <row r="458" spans="1:16" x14ac:dyDescent="0.25">
      <c r="A458" s="2">
        <v>45576</v>
      </c>
      <c r="B458" s="2" t="str">
        <f>TEXT(Table134[[#This Row],[Date]],"MMM")</f>
        <v>Oct</v>
      </c>
      <c r="C458">
        <v>82</v>
      </c>
      <c r="D458">
        <v>43</v>
      </c>
      <c r="E458" s="3">
        <v>336.98082013143619</v>
      </c>
      <c r="F458">
        <v>3</v>
      </c>
      <c r="G458" s="6">
        <v>4486.8998670628434</v>
      </c>
      <c r="H458" t="s">
        <v>18</v>
      </c>
      <c r="I458" t="s">
        <v>35</v>
      </c>
      <c r="J458" t="str">
        <f>Table134[[#This Row],[First Name]]&amp;" "&amp;Table134[[#This Row],[Last Name]]</f>
        <v>Chris Garcia</v>
      </c>
      <c r="K458" t="s">
        <v>46</v>
      </c>
      <c r="L458" s="5">
        <f>Table134[[#This Row],[Calls Reached]]/Table134[[#This Row],[Total Calls]]</f>
        <v>0.52439024390243905</v>
      </c>
      <c r="M458" s="5">
        <f>Table134[[#This Row],[Deals Closed]]/Table134[[#This Row],[Calls Reached]]</f>
        <v>6.9767441860465115E-2</v>
      </c>
      <c r="N458" s="6">
        <f>IFERROR(Table134[[#This Row],[Deal Value ($)]]/Table134[[#This Row],[Deals Closed]],0)</f>
        <v>1495.6332890209478</v>
      </c>
      <c r="O458" s="6">
        <f>Table134[[#This Row],[Deal Value ($)]]/Table134[[#This Row],[Total Calls]]</f>
        <v>54.718291061741994</v>
      </c>
      <c r="P458" t="str">
        <f>IF(Table134[[#This Row],[Conversion Rate]]&gt;=20%,"High","Low")</f>
        <v>Low</v>
      </c>
    </row>
    <row r="459" spans="1:16" x14ac:dyDescent="0.25">
      <c r="A459" s="2">
        <v>45579</v>
      </c>
      <c r="B459" s="2" t="str">
        <f>TEXT(Table134[[#This Row],[Date]],"MMM")</f>
        <v>Oct</v>
      </c>
      <c r="C459">
        <v>91</v>
      </c>
      <c r="D459">
        <v>61</v>
      </c>
      <c r="E459" s="3">
        <v>433.7788692605136</v>
      </c>
      <c r="F459">
        <v>4</v>
      </c>
      <c r="G459" s="6">
        <v>3271.38434682037</v>
      </c>
      <c r="H459" t="s">
        <v>48</v>
      </c>
      <c r="I459" t="s">
        <v>40</v>
      </c>
      <c r="J459" t="str">
        <f>Table134[[#This Row],[First Name]]&amp;" "&amp;Table134[[#This Row],[Last Name]]</f>
        <v>Anna Davis</v>
      </c>
      <c r="K459" t="s">
        <v>45</v>
      </c>
      <c r="L459" s="5">
        <f>Table134[[#This Row],[Calls Reached]]/Table134[[#This Row],[Total Calls]]</f>
        <v>0.67032967032967028</v>
      </c>
      <c r="M459" s="5">
        <f>Table134[[#This Row],[Deals Closed]]/Table134[[#This Row],[Calls Reached]]</f>
        <v>6.5573770491803282E-2</v>
      </c>
      <c r="N459" s="6">
        <f>IFERROR(Table134[[#This Row],[Deal Value ($)]]/Table134[[#This Row],[Deals Closed]],0)</f>
        <v>817.84608670509249</v>
      </c>
      <c r="O459" s="6">
        <f>Table134[[#This Row],[Deal Value ($)]]/Table134[[#This Row],[Total Calls]]</f>
        <v>35.949278536487583</v>
      </c>
      <c r="P459" t="str">
        <f>IF(Table134[[#This Row],[Conversion Rate]]&gt;=20%,"High","Low")</f>
        <v>Low</v>
      </c>
    </row>
    <row r="460" spans="1:16" x14ac:dyDescent="0.25">
      <c r="A460" s="2">
        <v>45580</v>
      </c>
      <c r="B460" s="2" t="str">
        <f>TEXT(Table134[[#This Row],[Date]],"MMM")</f>
        <v>Oct</v>
      </c>
      <c r="C460">
        <v>93</v>
      </c>
      <c r="D460">
        <v>19</v>
      </c>
      <c r="E460" s="3">
        <v>186.15993560081489</v>
      </c>
      <c r="F460">
        <v>36</v>
      </c>
      <c r="G460" s="6">
        <v>1548.3176363913519</v>
      </c>
      <c r="H460" t="s">
        <v>9</v>
      </c>
      <c r="I460" t="s">
        <v>35</v>
      </c>
      <c r="J460" t="str">
        <f>Table134[[#This Row],[First Name]]&amp;" "&amp;Table134[[#This Row],[Last Name]]</f>
        <v>Evan Garcia</v>
      </c>
      <c r="K460" t="s">
        <v>46</v>
      </c>
      <c r="L460" s="5">
        <f>Table134[[#This Row],[Calls Reached]]/Table134[[#This Row],[Total Calls]]</f>
        <v>0.20430107526881722</v>
      </c>
      <c r="M460" s="5">
        <f>Table134[[#This Row],[Deals Closed]]/Table134[[#This Row],[Calls Reached]]</f>
        <v>1.8947368421052631</v>
      </c>
      <c r="N460" s="6">
        <f>IFERROR(Table134[[#This Row],[Deal Value ($)]]/Table134[[#This Row],[Deals Closed]],0)</f>
        <v>43.008823233093111</v>
      </c>
      <c r="O460" s="6">
        <f>Table134[[#This Row],[Deal Value ($)]]/Table134[[#This Row],[Total Calls]]</f>
        <v>16.648576735390883</v>
      </c>
      <c r="P460" t="str">
        <f>IF(Table134[[#This Row],[Conversion Rate]]&gt;=20%,"High","Low")</f>
        <v>High</v>
      </c>
    </row>
    <row r="461" spans="1:16" x14ac:dyDescent="0.25">
      <c r="A461" s="2">
        <v>45581</v>
      </c>
      <c r="B461" s="2" t="str">
        <f>TEXT(Table134[[#This Row],[Date]],"MMM")</f>
        <v>Oct</v>
      </c>
      <c r="C461">
        <v>73</v>
      </c>
      <c r="D461">
        <v>28</v>
      </c>
      <c r="E461" s="3">
        <v>196.14450940433539</v>
      </c>
      <c r="F461">
        <v>7</v>
      </c>
      <c r="G461" s="6">
        <v>609.80351700442111</v>
      </c>
      <c r="H461" t="s">
        <v>48</v>
      </c>
      <c r="I461" t="s">
        <v>38</v>
      </c>
      <c r="J461" t="str">
        <f>Table134[[#This Row],[First Name]]&amp;" "&amp;Table134[[#This Row],[Last Name]]</f>
        <v>Anna Rodriguez</v>
      </c>
      <c r="K461" t="s">
        <v>45</v>
      </c>
      <c r="L461" s="5">
        <f>Table134[[#This Row],[Calls Reached]]/Table134[[#This Row],[Total Calls]]</f>
        <v>0.38356164383561642</v>
      </c>
      <c r="M461" s="5">
        <f>Table134[[#This Row],[Deals Closed]]/Table134[[#This Row],[Calls Reached]]</f>
        <v>0.25</v>
      </c>
      <c r="N461" s="6">
        <f>IFERROR(Table134[[#This Row],[Deal Value ($)]]/Table134[[#This Row],[Deals Closed]],0)</f>
        <v>87.114788143488724</v>
      </c>
      <c r="O461" s="6">
        <f>Table134[[#This Row],[Deal Value ($)]]/Table134[[#This Row],[Total Calls]]</f>
        <v>8.3534728356770014</v>
      </c>
      <c r="P461" t="str">
        <f>IF(Table134[[#This Row],[Conversion Rate]]&gt;=20%,"High","Low")</f>
        <v>High</v>
      </c>
    </row>
    <row r="462" spans="1:16" x14ac:dyDescent="0.25">
      <c r="A462" s="2">
        <v>45582</v>
      </c>
      <c r="B462" s="2" t="str">
        <f>TEXT(Table134[[#This Row],[Date]],"MMM")</f>
        <v>Oct</v>
      </c>
      <c r="C462">
        <v>64</v>
      </c>
      <c r="D462">
        <v>67</v>
      </c>
      <c r="E462" s="3">
        <v>120.4343081332394</v>
      </c>
      <c r="F462">
        <v>27</v>
      </c>
      <c r="G462" s="6">
        <v>4415.4449325541846</v>
      </c>
      <c r="H462" t="s">
        <v>12</v>
      </c>
      <c r="I462" t="s">
        <v>35</v>
      </c>
      <c r="J462" t="str">
        <f>Table134[[#This Row],[First Name]]&amp;" "&amp;Table134[[#This Row],[Last Name]]</f>
        <v>Jake Garcia</v>
      </c>
      <c r="K462" t="s">
        <v>46</v>
      </c>
      <c r="L462" s="5">
        <f>Table134[[#This Row],[Calls Reached]]/Table134[[#This Row],[Total Calls]]</f>
        <v>1.046875</v>
      </c>
      <c r="M462" s="5">
        <f>Table134[[#This Row],[Deals Closed]]/Table134[[#This Row],[Calls Reached]]</f>
        <v>0.40298507462686567</v>
      </c>
      <c r="N462" s="6">
        <f>IFERROR(Table134[[#This Row],[Deal Value ($)]]/Table134[[#This Row],[Deals Closed]],0)</f>
        <v>163.53499750200683</v>
      </c>
      <c r="O462" s="6">
        <f>Table134[[#This Row],[Deal Value ($)]]/Table134[[#This Row],[Total Calls]]</f>
        <v>68.991327071159134</v>
      </c>
      <c r="P462" t="str">
        <f>IF(Table134[[#This Row],[Conversion Rate]]&gt;=20%,"High","Low")</f>
        <v>High</v>
      </c>
    </row>
    <row r="463" spans="1:16" x14ac:dyDescent="0.25">
      <c r="A463" s="2">
        <v>45583</v>
      </c>
      <c r="B463" s="2" t="str">
        <f>TEXT(Table134[[#This Row],[Date]],"MMM")</f>
        <v>Oct</v>
      </c>
      <c r="C463">
        <v>81</v>
      </c>
      <c r="D463">
        <v>10</v>
      </c>
      <c r="E463" s="3">
        <v>184.4675315360823</v>
      </c>
      <c r="F463">
        <v>30</v>
      </c>
      <c r="G463" s="6">
        <v>595.71234882674207</v>
      </c>
      <c r="H463" t="s">
        <v>9</v>
      </c>
      <c r="I463" t="s">
        <v>38</v>
      </c>
      <c r="J463" t="str">
        <f>Table134[[#This Row],[First Name]]&amp;" "&amp;Table134[[#This Row],[Last Name]]</f>
        <v>Evan Rodriguez</v>
      </c>
      <c r="K463" t="s">
        <v>45</v>
      </c>
      <c r="L463" s="5">
        <f>Table134[[#This Row],[Calls Reached]]/Table134[[#This Row],[Total Calls]]</f>
        <v>0.12345679012345678</v>
      </c>
      <c r="M463" s="5">
        <f>Table134[[#This Row],[Deals Closed]]/Table134[[#This Row],[Calls Reached]]</f>
        <v>3</v>
      </c>
      <c r="N463" s="6">
        <f>IFERROR(Table134[[#This Row],[Deal Value ($)]]/Table134[[#This Row],[Deals Closed]],0)</f>
        <v>19.857078294224735</v>
      </c>
      <c r="O463" s="6">
        <f>Table134[[#This Row],[Deal Value ($)]]/Table134[[#This Row],[Total Calls]]</f>
        <v>7.3544734423054576</v>
      </c>
      <c r="P463" t="str">
        <f>IF(Table134[[#This Row],[Conversion Rate]]&gt;=20%,"High","Low")</f>
        <v>High</v>
      </c>
    </row>
    <row r="464" spans="1:16" x14ac:dyDescent="0.25">
      <c r="A464" s="2">
        <v>45586</v>
      </c>
      <c r="B464" s="2" t="str">
        <f>TEXT(Table134[[#This Row],[Date]],"MMM")</f>
        <v>Oct</v>
      </c>
      <c r="C464">
        <v>81</v>
      </c>
      <c r="D464">
        <v>78</v>
      </c>
      <c r="E464" s="3">
        <v>239.2951695159793</v>
      </c>
      <c r="F464">
        <v>8</v>
      </c>
      <c r="G464" s="6">
        <v>4436.1575270788971</v>
      </c>
      <c r="H464" t="s">
        <v>18</v>
      </c>
      <c r="I464" t="s">
        <v>40</v>
      </c>
      <c r="J464" t="str">
        <f>Table134[[#This Row],[First Name]]&amp;" "&amp;Table134[[#This Row],[Last Name]]</f>
        <v>Chris Davis</v>
      </c>
      <c r="K464" t="s">
        <v>46</v>
      </c>
      <c r="L464" s="5">
        <f>Table134[[#This Row],[Calls Reached]]/Table134[[#This Row],[Total Calls]]</f>
        <v>0.96296296296296291</v>
      </c>
      <c r="M464" s="5">
        <f>Table134[[#This Row],[Deals Closed]]/Table134[[#This Row],[Calls Reached]]</f>
        <v>0.10256410256410256</v>
      </c>
      <c r="N464" s="6">
        <f>IFERROR(Table134[[#This Row],[Deal Value ($)]]/Table134[[#This Row],[Deals Closed]],0)</f>
        <v>554.51969088486214</v>
      </c>
      <c r="O464" s="6">
        <f>Table134[[#This Row],[Deal Value ($)]]/Table134[[#This Row],[Total Calls]]</f>
        <v>54.76737687751725</v>
      </c>
      <c r="P464" t="str">
        <f>IF(Table134[[#This Row],[Conversion Rate]]&gt;=20%,"High","Low")</f>
        <v>Low</v>
      </c>
    </row>
    <row r="465" spans="1:16" x14ac:dyDescent="0.25">
      <c r="A465" s="2">
        <v>45587</v>
      </c>
      <c r="B465" s="2" t="str">
        <f>TEXT(Table134[[#This Row],[Date]],"MMM")</f>
        <v>Oct</v>
      </c>
      <c r="C465">
        <v>73</v>
      </c>
      <c r="D465">
        <v>13</v>
      </c>
      <c r="E465" s="3">
        <v>188.5052421383734</v>
      </c>
      <c r="F465">
        <v>28</v>
      </c>
      <c r="G465" s="6">
        <v>2880.2171031224539</v>
      </c>
      <c r="H465" t="s">
        <v>47</v>
      </c>
      <c r="I465" t="s">
        <v>43</v>
      </c>
      <c r="J465" t="str">
        <f>Table134[[#This Row],[First Name]]&amp;" "&amp;Table134[[#This Row],[Last Name]]</f>
        <v>John Williams</v>
      </c>
      <c r="K465" t="s">
        <v>45</v>
      </c>
      <c r="L465" s="5">
        <f>Table134[[#This Row],[Calls Reached]]/Table134[[#This Row],[Total Calls]]</f>
        <v>0.17808219178082191</v>
      </c>
      <c r="M465" s="5">
        <f>Table134[[#This Row],[Deals Closed]]/Table134[[#This Row],[Calls Reached]]</f>
        <v>2.1538461538461537</v>
      </c>
      <c r="N465" s="6">
        <f>IFERROR(Table134[[#This Row],[Deal Value ($)]]/Table134[[#This Row],[Deals Closed]],0)</f>
        <v>102.86489654008764</v>
      </c>
      <c r="O465" s="6">
        <f>Table134[[#This Row],[Deal Value ($)]]/Table134[[#This Row],[Total Calls]]</f>
        <v>39.455028809896625</v>
      </c>
      <c r="P465" t="str">
        <f>IF(Table134[[#This Row],[Conversion Rate]]&gt;=20%,"High","Low")</f>
        <v>High</v>
      </c>
    </row>
    <row r="466" spans="1:16" x14ac:dyDescent="0.25">
      <c r="A466" s="2">
        <v>45588</v>
      </c>
      <c r="B466" s="2" t="str">
        <f>TEXT(Table134[[#This Row],[Date]],"MMM")</f>
        <v>Oct</v>
      </c>
      <c r="C466">
        <v>90</v>
      </c>
      <c r="D466">
        <v>25</v>
      </c>
      <c r="E466" s="3">
        <v>144.35126687852781</v>
      </c>
      <c r="F466">
        <v>13</v>
      </c>
      <c r="G466" s="6">
        <v>4725.8046433080326</v>
      </c>
      <c r="H466" t="s">
        <v>34</v>
      </c>
      <c r="I466" t="s">
        <v>44</v>
      </c>
      <c r="J466" t="str">
        <f>Table134[[#This Row],[First Name]]&amp;" "&amp;Table134[[#This Row],[Last Name]]</f>
        <v>Mimi Brown</v>
      </c>
      <c r="K466" t="s">
        <v>46</v>
      </c>
      <c r="L466" s="5">
        <f>Table134[[#This Row],[Calls Reached]]/Table134[[#This Row],[Total Calls]]</f>
        <v>0.27777777777777779</v>
      </c>
      <c r="M466" s="5">
        <f>Table134[[#This Row],[Deals Closed]]/Table134[[#This Row],[Calls Reached]]</f>
        <v>0.52</v>
      </c>
      <c r="N466" s="6">
        <f>IFERROR(Table134[[#This Row],[Deal Value ($)]]/Table134[[#This Row],[Deals Closed]],0)</f>
        <v>363.52343410061792</v>
      </c>
      <c r="O466" s="6">
        <f>Table134[[#This Row],[Deal Value ($)]]/Table134[[#This Row],[Total Calls]]</f>
        <v>52.508940481200362</v>
      </c>
      <c r="P466" t="str">
        <f>IF(Table134[[#This Row],[Conversion Rate]]&gt;=20%,"High","Low")</f>
        <v>High</v>
      </c>
    </row>
    <row r="467" spans="1:16" x14ac:dyDescent="0.25">
      <c r="A467" s="2">
        <v>45589</v>
      </c>
      <c r="B467" s="2" t="str">
        <f>TEXT(Table134[[#This Row],[Date]],"MMM")</f>
        <v>Oct</v>
      </c>
      <c r="C467">
        <v>98</v>
      </c>
      <c r="D467">
        <v>33</v>
      </c>
      <c r="E467" s="3">
        <v>160.3179355503004</v>
      </c>
      <c r="F467">
        <v>39</v>
      </c>
      <c r="G467" s="6">
        <v>4094.5245609814938</v>
      </c>
      <c r="H467" t="s">
        <v>12</v>
      </c>
      <c r="I467" t="s">
        <v>37</v>
      </c>
      <c r="J467" t="str">
        <f>Table134[[#This Row],[First Name]]&amp;" "&amp;Table134[[#This Row],[Last Name]]</f>
        <v>Jake Johnson</v>
      </c>
      <c r="K467" t="s">
        <v>46</v>
      </c>
      <c r="L467" s="5">
        <f>Table134[[#This Row],[Calls Reached]]/Table134[[#This Row],[Total Calls]]</f>
        <v>0.33673469387755101</v>
      </c>
      <c r="M467" s="5">
        <f>Table134[[#This Row],[Deals Closed]]/Table134[[#This Row],[Calls Reached]]</f>
        <v>1.1818181818181819</v>
      </c>
      <c r="N467" s="6">
        <f>IFERROR(Table134[[#This Row],[Deal Value ($)]]/Table134[[#This Row],[Deals Closed]],0)</f>
        <v>104.98780925593574</v>
      </c>
      <c r="O467" s="6">
        <f>Table134[[#This Row],[Deal Value ($)]]/Table134[[#This Row],[Total Calls]]</f>
        <v>41.780862867158099</v>
      </c>
      <c r="P467" t="str">
        <f>IF(Table134[[#This Row],[Conversion Rate]]&gt;=20%,"High","Low")</f>
        <v>High</v>
      </c>
    </row>
    <row r="468" spans="1:16" x14ac:dyDescent="0.25">
      <c r="A468" s="2">
        <v>45590</v>
      </c>
      <c r="B468" s="2" t="str">
        <f>TEXT(Table134[[#This Row],[Date]],"MMM")</f>
        <v>Oct</v>
      </c>
      <c r="C468">
        <v>98</v>
      </c>
      <c r="D468">
        <v>11</v>
      </c>
      <c r="E468" s="3">
        <v>330.3893840163629</v>
      </c>
      <c r="F468">
        <v>21</v>
      </c>
      <c r="G468" s="6">
        <v>4990.7034974000189</v>
      </c>
      <c r="H468" t="s">
        <v>12</v>
      </c>
      <c r="I468" t="s">
        <v>42</v>
      </c>
      <c r="J468" t="str">
        <f>Table134[[#This Row],[First Name]]&amp;" "&amp;Table134[[#This Row],[Last Name]]</f>
        <v>Jake Martinez</v>
      </c>
      <c r="K468" t="s">
        <v>45</v>
      </c>
      <c r="L468" s="5">
        <f>Table134[[#This Row],[Calls Reached]]/Table134[[#This Row],[Total Calls]]</f>
        <v>0.11224489795918367</v>
      </c>
      <c r="M468" s="5">
        <f>Table134[[#This Row],[Deals Closed]]/Table134[[#This Row],[Calls Reached]]</f>
        <v>1.9090909090909092</v>
      </c>
      <c r="N468" s="6">
        <f>IFERROR(Table134[[#This Row],[Deal Value ($)]]/Table134[[#This Row],[Deals Closed]],0)</f>
        <v>237.65254749523899</v>
      </c>
      <c r="O468" s="6">
        <f>Table134[[#This Row],[Deal Value ($)]]/Table134[[#This Row],[Total Calls]]</f>
        <v>50.925545891836926</v>
      </c>
      <c r="P468" t="str">
        <f>IF(Table134[[#This Row],[Conversion Rate]]&gt;=20%,"High","Low")</f>
        <v>High</v>
      </c>
    </row>
    <row r="469" spans="1:16" x14ac:dyDescent="0.25">
      <c r="A469" s="2">
        <v>45593</v>
      </c>
      <c r="B469" s="2" t="str">
        <f>TEXT(Table134[[#This Row],[Date]],"MMM")</f>
        <v>Oct</v>
      </c>
      <c r="C469">
        <v>61</v>
      </c>
      <c r="D469">
        <v>41</v>
      </c>
      <c r="E469" s="3">
        <v>203.16685920289629</v>
      </c>
      <c r="F469">
        <v>10</v>
      </c>
      <c r="G469" s="6">
        <v>2078.2031695326959</v>
      </c>
      <c r="H469" t="s">
        <v>10</v>
      </c>
      <c r="I469" t="s">
        <v>37</v>
      </c>
      <c r="J469" t="str">
        <f>Table134[[#This Row],[First Name]]&amp;" "&amp;Table134[[#This Row],[Last Name]]</f>
        <v>Alice Johnson</v>
      </c>
      <c r="K469" t="s">
        <v>45</v>
      </c>
      <c r="L469" s="5">
        <f>Table134[[#This Row],[Calls Reached]]/Table134[[#This Row],[Total Calls]]</f>
        <v>0.67213114754098358</v>
      </c>
      <c r="M469" s="5">
        <f>Table134[[#This Row],[Deals Closed]]/Table134[[#This Row],[Calls Reached]]</f>
        <v>0.24390243902439024</v>
      </c>
      <c r="N469" s="6">
        <f>IFERROR(Table134[[#This Row],[Deal Value ($)]]/Table134[[#This Row],[Deals Closed]],0)</f>
        <v>207.82031695326958</v>
      </c>
      <c r="O469" s="6">
        <f>Table134[[#This Row],[Deal Value ($)]]/Table134[[#This Row],[Total Calls]]</f>
        <v>34.068904418568785</v>
      </c>
      <c r="P469" t="str">
        <f>IF(Table134[[#This Row],[Conversion Rate]]&gt;=20%,"High","Low")</f>
        <v>High</v>
      </c>
    </row>
    <row r="470" spans="1:16" x14ac:dyDescent="0.25">
      <c r="A470" s="2">
        <v>45594</v>
      </c>
      <c r="B470" s="2" t="str">
        <f>TEXT(Table134[[#This Row],[Date]],"MMM")</f>
        <v>Oct</v>
      </c>
      <c r="C470">
        <v>88</v>
      </c>
      <c r="D470">
        <v>33</v>
      </c>
      <c r="E470" s="3">
        <v>282.13493052403771</v>
      </c>
      <c r="F470">
        <v>22</v>
      </c>
      <c r="G470" s="6">
        <v>3952.3473001900711</v>
      </c>
      <c r="H470" t="s">
        <v>18</v>
      </c>
      <c r="I470" t="s">
        <v>43</v>
      </c>
      <c r="J470" t="str">
        <f>Table134[[#This Row],[First Name]]&amp;" "&amp;Table134[[#This Row],[Last Name]]</f>
        <v>Chris Williams</v>
      </c>
      <c r="K470" t="s">
        <v>45</v>
      </c>
      <c r="L470" s="5">
        <f>Table134[[#This Row],[Calls Reached]]/Table134[[#This Row],[Total Calls]]</f>
        <v>0.375</v>
      </c>
      <c r="M470" s="5">
        <f>Table134[[#This Row],[Deals Closed]]/Table134[[#This Row],[Calls Reached]]</f>
        <v>0.66666666666666663</v>
      </c>
      <c r="N470" s="6">
        <f>IFERROR(Table134[[#This Row],[Deal Value ($)]]/Table134[[#This Row],[Deals Closed]],0)</f>
        <v>179.65215000863961</v>
      </c>
      <c r="O470" s="6">
        <f>Table134[[#This Row],[Deal Value ($)]]/Table134[[#This Row],[Total Calls]]</f>
        <v>44.913037502159902</v>
      </c>
      <c r="P470" t="str">
        <f>IF(Table134[[#This Row],[Conversion Rate]]&gt;=20%,"High","Low")</f>
        <v>High</v>
      </c>
    </row>
    <row r="471" spans="1:16" x14ac:dyDescent="0.25">
      <c r="A471" s="2">
        <v>45595</v>
      </c>
      <c r="B471" s="2" t="str">
        <f>TEXT(Table134[[#This Row],[Date]],"MMM")</f>
        <v>Oct</v>
      </c>
      <c r="C471">
        <v>51</v>
      </c>
      <c r="D471">
        <v>21</v>
      </c>
      <c r="E471" s="3">
        <v>351.70863542742848</v>
      </c>
      <c r="F471">
        <v>0</v>
      </c>
      <c r="G471" s="6">
        <v>2308.6891112415901</v>
      </c>
      <c r="H471" t="s">
        <v>18</v>
      </c>
      <c r="I471" t="s">
        <v>42</v>
      </c>
      <c r="J471" t="str">
        <f>Table134[[#This Row],[First Name]]&amp;" "&amp;Table134[[#This Row],[Last Name]]</f>
        <v>Chris Martinez</v>
      </c>
      <c r="K471" t="s">
        <v>45</v>
      </c>
      <c r="L471" s="5">
        <f>Table134[[#This Row],[Calls Reached]]/Table134[[#This Row],[Total Calls]]</f>
        <v>0.41176470588235292</v>
      </c>
      <c r="M471" s="5">
        <f>Table134[[#This Row],[Deals Closed]]/Table134[[#This Row],[Calls Reached]]</f>
        <v>0</v>
      </c>
      <c r="N471" s="6">
        <f>IFERROR(Table134[[#This Row],[Deal Value ($)]]/Table134[[#This Row],[Deals Closed]],0)</f>
        <v>0</v>
      </c>
      <c r="O471" s="6">
        <f>Table134[[#This Row],[Deal Value ($)]]/Table134[[#This Row],[Total Calls]]</f>
        <v>45.26841394591353</v>
      </c>
      <c r="P471" t="str">
        <f>IF(Table134[[#This Row],[Conversion Rate]]&gt;=20%,"High","Low")</f>
        <v>Low</v>
      </c>
    </row>
    <row r="472" spans="1:16" x14ac:dyDescent="0.25">
      <c r="A472" s="2">
        <v>45596</v>
      </c>
      <c r="B472" s="2" t="str">
        <f>TEXT(Table134[[#This Row],[Date]],"MMM")</f>
        <v>Oct</v>
      </c>
      <c r="C472">
        <v>52</v>
      </c>
      <c r="D472">
        <v>59</v>
      </c>
      <c r="E472" s="3">
        <v>445.19741431468259</v>
      </c>
      <c r="F472">
        <v>36</v>
      </c>
      <c r="G472" s="6">
        <v>2659.4402913675899</v>
      </c>
      <c r="H472" t="s">
        <v>49</v>
      </c>
      <c r="I472" t="s">
        <v>35</v>
      </c>
      <c r="J472" t="str">
        <f>Table134[[#This Row],[First Name]]&amp;" "&amp;Table134[[#This Row],[Last Name]]</f>
        <v>Jane Garcia</v>
      </c>
      <c r="K472" t="s">
        <v>46</v>
      </c>
      <c r="L472" s="5">
        <f>Table134[[#This Row],[Calls Reached]]/Table134[[#This Row],[Total Calls]]</f>
        <v>1.1346153846153846</v>
      </c>
      <c r="M472" s="5">
        <f>Table134[[#This Row],[Deals Closed]]/Table134[[#This Row],[Calls Reached]]</f>
        <v>0.61016949152542377</v>
      </c>
      <c r="N472" s="6">
        <f>IFERROR(Table134[[#This Row],[Deal Value ($)]]/Table134[[#This Row],[Deals Closed]],0)</f>
        <v>73.873341426877502</v>
      </c>
      <c r="O472" s="6">
        <f>Table134[[#This Row],[Deal Value ($)]]/Table134[[#This Row],[Total Calls]]</f>
        <v>51.143082526299807</v>
      </c>
      <c r="P472" t="str">
        <f>IF(Table134[[#This Row],[Conversion Rate]]&gt;=20%,"High","Low")</f>
        <v>High</v>
      </c>
    </row>
    <row r="473" spans="1:16" x14ac:dyDescent="0.25">
      <c r="A473" s="2">
        <v>45597</v>
      </c>
      <c r="B473" s="2" t="str">
        <f>TEXT(Table134[[#This Row],[Date]],"MMM")</f>
        <v>Nov</v>
      </c>
      <c r="C473">
        <v>73</v>
      </c>
      <c r="D473">
        <v>8</v>
      </c>
      <c r="E473" s="3">
        <v>182.48</v>
      </c>
      <c r="F473">
        <v>8</v>
      </c>
      <c r="G473" s="6">
        <v>548.46</v>
      </c>
      <c r="H473" t="s">
        <v>31</v>
      </c>
      <c r="I473" t="s">
        <v>39</v>
      </c>
      <c r="J473" t="str">
        <f>Table134[[#This Row],[First Name]]&amp;" "&amp;Table134[[#This Row],[Last Name]]</f>
        <v>Josh Jones</v>
      </c>
      <c r="K473" t="s">
        <v>46</v>
      </c>
      <c r="L473" s="5">
        <f>Table134[[#This Row],[Calls Reached]]/Table134[[#This Row],[Total Calls]]</f>
        <v>0.1095890410958904</v>
      </c>
      <c r="M473" s="5">
        <f>Table134[[#This Row],[Deals Closed]]/Table134[[#This Row],[Calls Reached]]</f>
        <v>1</v>
      </c>
      <c r="N473" s="6">
        <f>IFERROR(Table134[[#This Row],[Deal Value ($)]]/Table134[[#This Row],[Deals Closed]],0)</f>
        <v>68.557500000000005</v>
      </c>
      <c r="O473" s="6">
        <f>Table134[[#This Row],[Deal Value ($)]]/Table134[[#This Row],[Total Calls]]</f>
        <v>7.5131506849315075</v>
      </c>
      <c r="P473" t="str">
        <f>IF(Table134[[#This Row],[Conversion Rate]]&gt;=20%,"High","Low")</f>
        <v>High</v>
      </c>
    </row>
    <row r="474" spans="1:16" x14ac:dyDescent="0.25">
      <c r="A474" s="2">
        <v>45597</v>
      </c>
      <c r="B474" s="2" t="str">
        <f>TEXT(Table134[[#This Row],[Date]],"MMM")</f>
        <v>Nov</v>
      </c>
      <c r="C474">
        <v>77</v>
      </c>
      <c r="D474">
        <v>16</v>
      </c>
      <c r="E474" s="3">
        <v>502.41</v>
      </c>
      <c r="F474">
        <v>5</v>
      </c>
      <c r="G474" s="6">
        <v>1093.75</v>
      </c>
      <c r="H474" t="s">
        <v>13</v>
      </c>
      <c r="I474" t="s">
        <v>44</v>
      </c>
      <c r="J474" t="str">
        <f>Table134[[#This Row],[First Name]]&amp;" "&amp;Table134[[#This Row],[Last Name]]</f>
        <v>Liam Brown</v>
      </c>
      <c r="K474" t="s">
        <v>46</v>
      </c>
      <c r="L474" s="5">
        <f>Table134[[#This Row],[Calls Reached]]/Table134[[#This Row],[Total Calls]]</f>
        <v>0.20779220779220781</v>
      </c>
      <c r="M474" s="5">
        <f>Table134[[#This Row],[Deals Closed]]/Table134[[#This Row],[Calls Reached]]</f>
        <v>0.3125</v>
      </c>
      <c r="N474" s="6">
        <f>IFERROR(Table134[[#This Row],[Deal Value ($)]]/Table134[[#This Row],[Deals Closed]],0)</f>
        <v>218.75</v>
      </c>
      <c r="O474" s="6">
        <f>Table134[[#This Row],[Deal Value ($)]]/Table134[[#This Row],[Total Calls]]</f>
        <v>14.204545454545455</v>
      </c>
      <c r="P474" t="str">
        <f>IF(Table134[[#This Row],[Conversion Rate]]&gt;=20%,"High","Low")</f>
        <v>High</v>
      </c>
    </row>
    <row r="475" spans="1:16" x14ac:dyDescent="0.25">
      <c r="A475" s="2">
        <v>45597</v>
      </c>
      <c r="B475" s="2" t="str">
        <f>TEXT(Table134[[#This Row],[Date]],"MMM")</f>
        <v>Nov</v>
      </c>
      <c r="C475">
        <v>22</v>
      </c>
      <c r="D475">
        <v>6</v>
      </c>
      <c r="E475" s="3">
        <v>80.02</v>
      </c>
      <c r="F475">
        <v>3</v>
      </c>
      <c r="G475" s="6">
        <v>1476.69</v>
      </c>
      <c r="H475" t="s">
        <v>12</v>
      </c>
      <c r="I475" t="s">
        <v>43</v>
      </c>
      <c r="J475" t="str">
        <f>Table134[[#This Row],[First Name]]&amp;" "&amp;Table134[[#This Row],[Last Name]]</f>
        <v>Jake Williams</v>
      </c>
      <c r="K475" t="s">
        <v>45</v>
      </c>
      <c r="L475" s="5">
        <f>Table134[[#This Row],[Calls Reached]]/Table134[[#This Row],[Total Calls]]</f>
        <v>0.27272727272727271</v>
      </c>
      <c r="M475" s="5">
        <f>Table134[[#This Row],[Deals Closed]]/Table134[[#This Row],[Calls Reached]]</f>
        <v>0.5</v>
      </c>
      <c r="N475" s="6">
        <f>IFERROR(Table134[[#This Row],[Deal Value ($)]]/Table134[[#This Row],[Deals Closed]],0)</f>
        <v>492.23</v>
      </c>
      <c r="O475" s="6">
        <f>Table134[[#This Row],[Deal Value ($)]]/Table134[[#This Row],[Total Calls]]</f>
        <v>67.12227272727273</v>
      </c>
      <c r="P475" t="str">
        <f>IF(Table134[[#This Row],[Conversion Rate]]&gt;=20%,"High","Low")</f>
        <v>High</v>
      </c>
    </row>
    <row r="476" spans="1:16" x14ac:dyDescent="0.25">
      <c r="A476" s="2">
        <v>45597</v>
      </c>
      <c r="B476" s="2" t="str">
        <f>TEXT(Table134[[#This Row],[Date]],"MMM")</f>
        <v>Nov</v>
      </c>
      <c r="C476">
        <v>41</v>
      </c>
      <c r="D476">
        <v>13</v>
      </c>
      <c r="E476" s="3">
        <v>370.44</v>
      </c>
      <c r="F476">
        <v>9</v>
      </c>
      <c r="G476" s="6">
        <v>4484.96</v>
      </c>
      <c r="H476" t="s">
        <v>34</v>
      </c>
      <c r="I476" t="s">
        <v>42</v>
      </c>
      <c r="J476" t="str">
        <f>Table134[[#This Row],[First Name]]&amp;" "&amp;Table134[[#This Row],[Last Name]]</f>
        <v>Mimi Martinez</v>
      </c>
      <c r="K476" t="s">
        <v>45</v>
      </c>
      <c r="L476" s="5">
        <f>Table134[[#This Row],[Calls Reached]]/Table134[[#This Row],[Total Calls]]</f>
        <v>0.31707317073170732</v>
      </c>
      <c r="M476" s="5">
        <f>Table134[[#This Row],[Deals Closed]]/Table134[[#This Row],[Calls Reached]]</f>
        <v>0.69230769230769229</v>
      </c>
      <c r="N476" s="6">
        <f>IFERROR(Table134[[#This Row],[Deal Value ($)]]/Table134[[#This Row],[Deals Closed]],0)</f>
        <v>498.32888888888891</v>
      </c>
      <c r="O476" s="6">
        <f>Table134[[#This Row],[Deal Value ($)]]/Table134[[#This Row],[Total Calls]]</f>
        <v>109.38926829268293</v>
      </c>
      <c r="P476" t="str">
        <f>IF(Table134[[#This Row],[Conversion Rate]]&gt;=20%,"High","Low")</f>
        <v>High</v>
      </c>
    </row>
    <row r="477" spans="1:16" x14ac:dyDescent="0.25">
      <c r="A477" s="2">
        <v>45597</v>
      </c>
      <c r="B477" s="2" t="str">
        <f>TEXT(Table134[[#This Row],[Date]],"MMM")</f>
        <v>Nov</v>
      </c>
      <c r="C477">
        <v>28</v>
      </c>
      <c r="D477">
        <v>12</v>
      </c>
      <c r="E477" s="3">
        <v>565.51</v>
      </c>
      <c r="F477">
        <v>4</v>
      </c>
      <c r="G477" s="6">
        <v>231.16</v>
      </c>
      <c r="H477" t="s">
        <v>33</v>
      </c>
      <c r="I477" t="s">
        <v>41</v>
      </c>
      <c r="J477" t="str">
        <f>Table134[[#This Row],[First Name]]&amp;" "&amp;Table134[[#This Row],[Last Name]]</f>
        <v>David Miller</v>
      </c>
      <c r="K477" t="s">
        <v>46</v>
      </c>
      <c r="L477" s="5">
        <f>Table134[[#This Row],[Calls Reached]]/Table134[[#This Row],[Total Calls]]</f>
        <v>0.42857142857142855</v>
      </c>
      <c r="M477" s="5">
        <f>Table134[[#This Row],[Deals Closed]]/Table134[[#This Row],[Calls Reached]]</f>
        <v>0.33333333333333331</v>
      </c>
      <c r="N477" s="6">
        <f>IFERROR(Table134[[#This Row],[Deal Value ($)]]/Table134[[#This Row],[Deals Closed]],0)</f>
        <v>57.79</v>
      </c>
      <c r="O477" s="6">
        <f>Table134[[#This Row],[Deal Value ($)]]/Table134[[#This Row],[Total Calls]]</f>
        <v>8.2557142857142853</v>
      </c>
      <c r="P477" t="str">
        <f>IF(Table134[[#This Row],[Conversion Rate]]&gt;=20%,"High","Low")</f>
        <v>High</v>
      </c>
    </row>
    <row r="478" spans="1:16" x14ac:dyDescent="0.25">
      <c r="A478" s="2">
        <v>45597</v>
      </c>
      <c r="B478" s="2" t="str">
        <f>TEXT(Table134[[#This Row],[Date]],"MMM")</f>
        <v>Nov</v>
      </c>
      <c r="C478">
        <v>97</v>
      </c>
      <c r="D478">
        <v>14</v>
      </c>
      <c r="E478" s="3">
        <v>368.16</v>
      </c>
      <c r="F478">
        <v>0</v>
      </c>
      <c r="G478" s="6">
        <v>3020.19</v>
      </c>
      <c r="H478" t="s">
        <v>32</v>
      </c>
      <c r="I478" t="s">
        <v>36</v>
      </c>
      <c r="J478" t="str">
        <f>Table134[[#This Row],[First Name]]&amp;" "&amp;Table134[[#This Row],[Last Name]]</f>
        <v>Craig Smith</v>
      </c>
      <c r="K478" t="s">
        <v>46</v>
      </c>
      <c r="L478" s="5">
        <f>Table134[[#This Row],[Calls Reached]]/Table134[[#This Row],[Total Calls]]</f>
        <v>0.14432989690721648</v>
      </c>
      <c r="M478" s="5">
        <f>Table134[[#This Row],[Deals Closed]]/Table134[[#This Row],[Calls Reached]]</f>
        <v>0</v>
      </c>
      <c r="N478" s="6">
        <f>IFERROR(Table134[[#This Row],[Deal Value ($)]]/Table134[[#This Row],[Deals Closed]],0)</f>
        <v>0</v>
      </c>
      <c r="O478" s="6">
        <f>Table134[[#This Row],[Deal Value ($)]]/Table134[[#This Row],[Total Calls]]</f>
        <v>31.135979381443299</v>
      </c>
      <c r="P478" t="str">
        <f>IF(Table134[[#This Row],[Conversion Rate]]&gt;=20%,"High","Low")</f>
        <v>Low</v>
      </c>
    </row>
    <row r="479" spans="1:16" x14ac:dyDescent="0.25">
      <c r="A479" s="2">
        <v>45597</v>
      </c>
      <c r="B479" s="2" t="str">
        <f>TEXT(Table134[[#This Row],[Date]],"MMM")</f>
        <v>Nov</v>
      </c>
      <c r="C479">
        <v>87</v>
      </c>
      <c r="D479">
        <v>5</v>
      </c>
      <c r="E479" s="3">
        <v>601.28</v>
      </c>
      <c r="F479">
        <v>2</v>
      </c>
      <c r="G479" s="6">
        <v>3491.19</v>
      </c>
      <c r="H479" t="s">
        <v>30</v>
      </c>
      <c r="I479" t="s">
        <v>41</v>
      </c>
      <c r="J479" t="str">
        <f>Table134[[#This Row],[First Name]]&amp;" "&amp;Table134[[#This Row],[Last Name]]</f>
        <v>Emma Miller</v>
      </c>
      <c r="K479" t="s">
        <v>45</v>
      </c>
      <c r="L479" s="5">
        <f>Table134[[#This Row],[Calls Reached]]/Table134[[#This Row],[Total Calls]]</f>
        <v>5.7471264367816091E-2</v>
      </c>
      <c r="M479" s="5">
        <f>Table134[[#This Row],[Deals Closed]]/Table134[[#This Row],[Calls Reached]]</f>
        <v>0.4</v>
      </c>
      <c r="N479" s="6">
        <f>IFERROR(Table134[[#This Row],[Deal Value ($)]]/Table134[[#This Row],[Deals Closed]],0)</f>
        <v>1745.595</v>
      </c>
      <c r="O479" s="6">
        <f>Table134[[#This Row],[Deal Value ($)]]/Table134[[#This Row],[Total Calls]]</f>
        <v>40.128620689655172</v>
      </c>
      <c r="P479" t="str">
        <f>IF(Table134[[#This Row],[Conversion Rate]]&gt;=20%,"High","Low")</f>
        <v>High</v>
      </c>
    </row>
    <row r="480" spans="1:16" x14ac:dyDescent="0.25">
      <c r="A480" s="2">
        <v>45597</v>
      </c>
      <c r="B480" s="2" t="str">
        <f>TEXT(Table134[[#This Row],[Date]],"MMM")</f>
        <v>Nov</v>
      </c>
      <c r="C480">
        <v>18</v>
      </c>
      <c r="D480">
        <v>15</v>
      </c>
      <c r="E480" s="3">
        <v>268.94</v>
      </c>
      <c r="F480">
        <v>1</v>
      </c>
      <c r="G480" s="6">
        <v>1469.71</v>
      </c>
      <c r="H480" t="s">
        <v>29</v>
      </c>
      <c r="I480" t="s">
        <v>43</v>
      </c>
      <c r="J480" t="str">
        <f>Table134[[#This Row],[First Name]]&amp;" "&amp;Table134[[#This Row],[Last Name]]</f>
        <v>Grace Williams</v>
      </c>
      <c r="K480" t="s">
        <v>46</v>
      </c>
      <c r="L480" s="5">
        <f>Table134[[#This Row],[Calls Reached]]/Table134[[#This Row],[Total Calls]]</f>
        <v>0.83333333333333337</v>
      </c>
      <c r="M480" s="5">
        <f>Table134[[#This Row],[Deals Closed]]/Table134[[#This Row],[Calls Reached]]</f>
        <v>6.6666666666666666E-2</v>
      </c>
      <c r="N480" s="6">
        <f>IFERROR(Table134[[#This Row],[Deal Value ($)]]/Table134[[#This Row],[Deals Closed]],0)</f>
        <v>1469.71</v>
      </c>
      <c r="O480" s="6">
        <f>Table134[[#This Row],[Deal Value ($)]]/Table134[[#This Row],[Total Calls]]</f>
        <v>81.650555555555556</v>
      </c>
      <c r="P480" t="str">
        <f>IF(Table134[[#This Row],[Conversion Rate]]&gt;=20%,"High","Low")</f>
        <v>Low</v>
      </c>
    </row>
    <row r="481" spans="1:16" x14ac:dyDescent="0.25">
      <c r="A481" s="2">
        <v>45597</v>
      </c>
      <c r="B481" s="2" t="str">
        <f>TEXT(Table134[[#This Row],[Date]],"MMM")</f>
        <v>Nov</v>
      </c>
      <c r="C481">
        <v>72</v>
      </c>
      <c r="D481">
        <v>12</v>
      </c>
      <c r="E481" s="3">
        <v>474.28</v>
      </c>
      <c r="F481">
        <v>1</v>
      </c>
      <c r="G481" s="6">
        <v>1097.5999999999999</v>
      </c>
      <c r="H481" t="s">
        <v>28</v>
      </c>
      <c r="I481" t="s">
        <v>39</v>
      </c>
      <c r="J481" t="str">
        <f>Table134[[#This Row],[First Name]]&amp;" "&amp;Table134[[#This Row],[Last Name]]</f>
        <v>Vicky Jones</v>
      </c>
      <c r="K481" t="s">
        <v>45</v>
      </c>
      <c r="L481" s="5">
        <f>Table134[[#This Row],[Calls Reached]]/Table134[[#This Row],[Total Calls]]</f>
        <v>0.16666666666666666</v>
      </c>
      <c r="M481" s="5">
        <f>Table134[[#This Row],[Deals Closed]]/Table134[[#This Row],[Calls Reached]]</f>
        <v>8.3333333333333329E-2</v>
      </c>
      <c r="N481" s="6">
        <f>IFERROR(Table134[[#This Row],[Deal Value ($)]]/Table134[[#This Row],[Deals Closed]],0)</f>
        <v>1097.5999999999999</v>
      </c>
      <c r="O481" s="6">
        <f>Table134[[#This Row],[Deal Value ($)]]/Table134[[#This Row],[Total Calls]]</f>
        <v>15.244444444444444</v>
      </c>
      <c r="P481" t="str">
        <f>IF(Table134[[#This Row],[Conversion Rate]]&gt;=20%,"High","Low")</f>
        <v>Low</v>
      </c>
    </row>
    <row r="482" spans="1:16" x14ac:dyDescent="0.25">
      <c r="A482" s="2">
        <v>45597</v>
      </c>
      <c r="B482" s="2" t="str">
        <f>TEXT(Table134[[#This Row],[Date]],"MMM")</f>
        <v>Nov</v>
      </c>
      <c r="C482">
        <v>96</v>
      </c>
      <c r="D482">
        <v>16</v>
      </c>
      <c r="E482" s="3">
        <v>161.69</v>
      </c>
      <c r="F482">
        <v>5</v>
      </c>
      <c r="G482" s="6">
        <v>392.05</v>
      </c>
      <c r="H482" t="s">
        <v>27</v>
      </c>
      <c r="I482" t="s">
        <v>39</v>
      </c>
      <c r="J482" t="str">
        <f>Table134[[#This Row],[First Name]]&amp;" "&amp;Table134[[#This Row],[Last Name]]</f>
        <v>Will Jones</v>
      </c>
      <c r="K482" t="s">
        <v>45</v>
      </c>
      <c r="L482" s="5">
        <f>Table134[[#This Row],[Calls Reached]]/Table134[[#This Row],[Total Calls]]</f>
        <v>0.16666666666666666</v>
      </c>
      <c r="M482" s="5">
        <f>Table134[[#This Row],[Deals Closed]]/Table134[[#This Row],[Calls Reached]]</f>
        <v>0.3125</v>
      </c>
      <c r="N482" s="6">
        <f>IFERROR(Table134[[#This Row],[Deal Value ($)]]/Table134[[#This Row],[Deals Closed]],0)</f>
        <v>78.41</v>
      </c>
      <c r="O482" s="6">
        <f>Table134[[#This Row],[Deal Value ($)]]/Table134[[#This Row],[Total Calls]]</f>
        <v>4.0838541666666668</v>
      </c>
      <c r="P482" t="str">
        <f>IF(Table134[[#This Row],[Conversion Rate]]&gt;=20%,"High","Low")</f>
        <v>High</v>
      </c>
    </row>
    <row r="483" spans="1:16" x14ac:dyDescent="0.25">
      <c r="A483" s="2">
        <v>45597</v>
      </c>
      <c r="B483" s="2" t="str">
        <f>TEXT(Table134[[#This Row],[Date]],"MMM")</f>
        <v>Nov</v>
      </c>
      <c r="C483">
        <v>26</v>
      </c>
      <c r="D483">
        <v>17</v>
      </c>
      <c r="E483" s="3">
        <v>504.54</v>
      </c>
      <c r="F483">
        <v>8</v>
      </c>
      <c r="G483" s="6">
        <v>3359.77</v>
      </c>
      <c r="H483" t="s">
        <v>26</v>
      </c>
      <c r="I483" t="s">
        <v>42</v>
      </c>
      <c r="J483" t="str">
        <f>Table134[[#This Row],[First Name]]&amp;" "&amp;Table134[[#This Row],[Last Name]]</f>
        <v>Darren Martinez</v>
      </c>
      <c r="K483" t="s">
        <v>45</v>
      </c>
      <c r="L483" s="5">
        <f>Table134[[#This Row],[Calls Reached]]/Table134[[#This Row],[Total Calls]]</f>
        <v>0.65384615384615385</v>
      </c>
      <c r="M483" s="5">
        <f>Table134[[#This Row],[Deals Closed]]/Table134[[#This Row],[Calls Reached]]</f>
        <v>0.47058823529411764</v>
      </c>
      <c r="N483" s="6">
        <f>IFERROR(Table134[[#This Row],[Deal Value ($)]]/Table134[[#This Row],[Deals Closed]],0)</f>
        <v>419.97125</v>
      </c>
      <c r="O483" s="6">
        <f>Table134[[#This Row],[Deal Value ($)]]/Table134[[#This Row],[Total Calls]]</f>
        <v>129.22192307692308</v>
      </c>
      <c r="P483" t="str">
        <f>IF(Table134[[#This Row],[Conversion Rate]]&gt;=20%,"High","Low")</f>
        <v>High</v>
      </c>
    </row>
    <row r="484" spans="1:16" x14ac:dyDescent="0.25">
      <c r="A484" s="2">
        <v>45597</v>
      </c>
      <c r="B484" s="2" t="str">
        <f>TEXT(Table134[[#This Row],[Date]],"MMM")</f>
        <v>Nov</v>
      </c>
      <c r="C484">
        <v>81</v>
      </c>
      <c r="D484">
        <v>7</v>
      </c>
      <c r="E484" s="3">
        <v>79.62</v>
      </c>
      <c r="F484">
        <v>7</v>
      </c>
      <c r="G484" s="6">
        <v>3892.76</v>
      </c>
      <c r="H484" t="s">
        <v>25</v>
      </c>
      <c r="I484" t="s">
        <v>35</v>
      </c>
      <c r="J484" t="str">
        <f>Table134[[#This Row],[First Name]]&amp;" "&amp;Table134[[#This Row],[Last Name]]</f>
        <v>Karol Garcia</v>
      </c>
      <c r="K484" t="s">
        <v>46</v>
      </c>
      <c r="L484" s="5">
        <f>Table134[[#This Row],[Calls Reached]]/Table134[[#This Row],[Total Calls]]</f>
        <v>8.6419753086419748E-2</v>
      </c>
      <c r="M484" s="5">
        <f>Table134[[#This Row],[Deals Closed]]/Table134[[#This Row],[Calls Reached]]</f>
        <v>1</v>
      </c>
      <c r="N484" s="6">
        <f>IFERROR(Table134[[#This Row],[Deal Value ($)]]/Table134[[#This Row],[Deals Closed]],0)</f>
        <v>556.10857142857151</v>
      </c>
      <c r="O484" s="6">
        <f>Table134[[#This Row],[Deal Value ($)]]/Table134[[#This Row],[Total Calls]]</f>
        <v>48.058765432098767</v>
      </c>
      <c r="P484" t="str">
        <f>IF(Table134[[#This Row],[Conversion Rate]]&gt;=20%,"High","Low")</f>
        <v>High</v>
      </c>
    </row>
    <row r="485" spans="1:16" x14ac:dyDescent="0.25">
      <c r="A485" s="2">
        <v>45597</v>
      </c>
      <c r="B485" s="2" t="str">
        <f>TEXT(Table134[[#This Row],[Date]],"MMM")</f>
        <v>Nov</v>
      </c>
      <c r="C485">
        <v>100</v>
      </c>
      <c r="D485">
        <v>6</v>
      </c>
      <c r="E485" s="3">
        <v>153.34</v>
      </c>
      <c r="F485">
        <v>3</v>
      </c>
      <c r="G485" s="6">
        <v>1248.54</v>
      </c>
      <c r="H485" t="s">
        <v>24</v>
      </c>
      <c r="I485" t="s">
        <v>40</v>
      </c>
      <c r="J485" t="str">
        <f>Table134[[#This Row],[First Name]]&amp;" "&amp;Table134[[#This Row],[Last Name]]</f>
        <v>Alex Davis</v>
      </c>
      <c r="K485" t="s">
        <v>46</v>
      </c>
      <c r="L485" s="5">
        <f>Table134[[#This Row],[Calls Reached]]/Table134[[#This Row],[Total Calls]]</f>
        <v>0.06</v>
      </c>
      <c r="M485" s="5">
        <f>Table134[[#This Row],[Deals Closed]]/Table134[[#This Row],[Calls Reached]]</f>
        <v>0.5</v>
      </c>
      <c r="N485" s="6">
        <f>IFERROR(Table134[[#This Row],[Deal Value ($)]]/Table134[[#This Row],[Deals Closed]],0)</f>
        <v>416.18</v>
      </c>
      <c r="O485" s="6">
        <f>Table134[[#This Row],[Deal Value ($)]]/Table134[[#This Row],[Total Calls]]</f>
        <v>12.4854</v>
      </c>
      <c r="P485" t="str">
        <f>IF(Table134[[#This Row],[Conversion Rate]]&gt;=20%,"High","Low")</f>
        <v>High</v>
      </c>
    </row>
    <row r="486" spans="1:16" x14ac:dyDescent="0.25">
      <c r="A486" s="2">
        <v>45597</v>
      </c>
      <c r="B486" s="2" t="str">
        <f>TEXT(Table134[[#This Row],[Date]],"MMM")</f>
        <v>Nov</v>
      </c>
      <c r="C486">
        <v>65</v>
      </c>
      <c r="D486">
        <v>9</v>
      </c>
      <c r="E486" s="3">
        <v>220.46</v>
      </c>
      <c r="F486">
        <v>3</v>
      </c>
      <c r="G486" s="6">
        <v>707.75</v>
      </c>
      <c r="H486" t="s">
        <v>23</v>
      </c>
      <c r="I486" t="s">
        <v>38</v>
      </c>
      <c r="J486" t="str">
        <f>Table134[[#This Row],[First Name]]&amp;" "&amp;Table134[[#This Row],[Last Name]]</f>
        <v>Melissa Rodriguez</v>
      </c>
      <c r="K486" t="s">
        <v>46</v>
      </c>
      <c r="L486" s="5">
        <f>Table134[[#This Row],[Calls Reached]]/Table134[[#This Row],[Total Calls]]</f>
        <v>0.13846153846153847</v>
      </c>
      <c r="M486" s="5">
        <f>Table134[[#This Row],[Deals Closed]]/Table134[[#This Row],[Calls Reached]]</f>
        <v>0.33333333333333331</v>
      </c>
      <c r="N486" s="6">
        <f>IFERROR(Table134[[#This Row],[Deal Value ($)]]/Table134[[#This Row],[Deals Closed]],0)</f>
        <v>235.91666666666666</v>
      </c>
      <c r="O486" s="6">
        <f>Table134[[#This Row],[Deal Value ($)]]/Table134[[#This Row],[Total Calls]]</f>
        <v>10.888461538461538</v>
      </c>
      <c r="P486" t="str">
        <f>IF(Table134[[#This Row],[Conversion Rate]]&gt;=20%,"High","Low")</f>
        <v>High</v>
      </c>
    </row>
    <row r="487" spans="1:16" x14ac:dyDescent="0.25">
      <c r="A487" s="2">
        <v>45597</v>
      </c>
      <c r="B487" s="2" t="str">
        <f>TEXT(Table134[[#This Row],[Date]],"MMM")</f>
        <v>Nov</v>
      </c>
      <c r="C487">
        <v>30</v>
      </c>
      <c r="D487">
        <v>6</v>
      </c>
      <c r="E487" s="3">
        <v>209.84</v>
      </c>
      <c r="F487">
        <v>1</v>
      </c>
      <c r="G487" s="6">
        <v>3534.1</v>
      </c>
      <c r="H487" t="s">
        <v>22</v>
      </c>
      <c r="I487" t="s">
        <v>41</v>
      </c>
      <c r="J487" t="str">
        <f>Table134[[#This Row],[First Name]]&amp;" "&amp;Table134[[#This Row],[Last Name]]</f>
        <v>Ian Miller</v>
      </c>
      <c r="K487" t="s">
        <v>45</v>
      </c>
      <c r="L487" s="5">
        <f>Table134[[#This Row],[Calls Reached]]/Table134[[#This Row],[Total Calls]]</f>
        <v>0.2</v>
      </c>
      <c r="M487" s="5">
        <f>Table134[[#This Row],[Deals Closed]]/Table134[[#This Row],[Calls Reached]]</f>
        <v>0.16666666666666666</v>
      </c>
      <c r="N487" s="6">
        <f>IFERROR(Table134[[#This Row],[Deal Value ($)]]/Table134[[#This Row],[Deals Closed]],0)</f>
        <v>3534.1</v>
      </c>
      <c r="O487" s="6">
        <f>Table134[[#This Row],[Deal Value ($)]]/Table134[[#This Row],[Total Calls]]</f>
        <v>117.80333333333333</v>
      </c>
      <c r="P487" t="str">
        <f>IF(Table134[[#This Row],[Conversion Rate]]&gt;=20%,"High","Low")</f>
        <v>Low</v>
      </c>
    </row>
    <row r="488" spans="1:16" x14ac:dyDescent="0.25">
      <c r="A488" s="2">
        <v>45597</v>
      </c>
      <c r="B488" s="2" t="str">
        <f>TEXT(Table134[[#This Row],[Date]],"MMM")</f>
        <v>Nov</v>
      </c>
      <c r="C488">
        <v>59</v>
      </c>
      <c r="D488">
        <v>21</v>
      </c>
      <c r="E488" s="3">
        <v>633.37</v>
      </c>
      <c r="F488">
        <v>2</v>
      </c>
      <c r="G488" s="6">
        <v>358.29</v>
      </c>
      <c r="H488" t="s">
        <v>21</v>
      </c>
      <c r="I488" t="s">
        <v>44</v>
      </c>
      <c r="J488" t="str">
        <f>Table134[[#This Row],[First Name]]&amp;" "&amp;Table134[[#This Row],[Last Name]]</f>
        <v>Paul Brown</v>
      </c>
      <c r="K488" t="s">
        <v>45</v>
      </c>
      <c r="L488" s="5">
        <f>Table134[[#This Row],[Calls Reached]]/Table134[[#This Row],[Total Calls]]</f>
        <v>0.3559322033898305</v>
      </c>
      <c r="M488" s="5">
        <f>Table134[[#This Row],[Deals Closed]]/Table134[[#This Row],[Calls Reached]]</f>
        <v>9.5238095238095233E-2</v>
      </c>
      <c r="N488" s="6">
        <f>IFERROR(Table134[[#This Row],[Deal Value ($)]]/Table134[[#This Row],[Deals Closed]],0)</f>
        <v>179.14500000000001</v>
      </c>
      <c r="O488" s="6">
        <f>Table134[[#This Row],[Deal Value ($)]]/Table134[[#This Row],[Total Calls]]</f>
        <v>6.0727118644067799</v>
      </c>
      <c r="P488" t="str">
        <f>IF(Table134[[#This Row],[Conversion Rate]]&gt;=20%,"High","Low")</f>
        <v>Low</v>
      </c>
    </row>
    <row r="489" spans="1:16" x14ac:dyDescent="0.25">
      <c r="A489" s="2">
        <v>45597</v>
      </c>
      <c r="B489" s="2" t="str">
        <f>TEXT(Table134[[#This Row],[Date]],"MMM")</f>
        <v>Nov</v>
      </c>
      <c r="C489">
        <v>32</v>
      </c>
      <c r="D489">
        <v>7</v>
      </c>
      <c r="E489" s="3">
        <v>563.41999999999996</v>
      </c>
      <c r="F489">
        <v>6</v>
      </c>
      <c r="G489" s="6">
        <v>3543.71</v>
      </c>
      <c r="H489" t="s">
        <v>20</v>
      </c>
      <c r="I489" t="s">
        <v>42</v>
      </c>
      <c r="J489" t="str">
        <f>Table134[[#This Row],[First Name]]&amp;" "&amp;Table134[[#This Row],[Last Name]]</f>
        <v>Richard Martinez</v>
      </c>
      <c r="K489" t="s">
        <v>46</v>
      </c>
      <c r="L489" s="5">
        <f>Table134[[#This Row],[Calls Reached]]/Table134[[#This Row],[Total Calls]]</f>
        <v>0.21875</v>
      </c>
      <c r="M489" s="5">
        <f>Table134[[#This Row],[Deals Closed]]/Table134[[#This Row],[Calls Reached]]</f>
        <v>0.8571428571428571</v>
      </c>
      <c r="N489" s="6">
        <f>IFERROR(Table134[[#This Row],[Deal Value ($)]]/Table134[[#This Row],[Deals Closed]],0)</f>
        <v>590.61833333333334</v>
      </c>
      <c r="O489" s="6">
        <f>Table134[[#This Row],[Deal Value ($)]]/Table134[[#This Row],[Total Calls]]</f>
        <v>110.7409375</v>
      </c>
      <c r="P489" t="str">
        <f>IF(Table134[[#This Row],[Conversion Rate]]&gt;=20%,"High","Low")</f>
        <v>High</v>
      </c>
    </row>
    <row r="490" spans="1:16" x14ac:dyDescent="0.25">
      <c r="A490" s="2">
        <v>45597</v>
      </c>
      <c r="B490" s="2" t="str">
        <f>TEXT(Table134[[#This Row],[Date]],"MMM")</f>
        <v>Nov</v>
      </c>
      <c r="C490">
        <v>23</v>
      </c>
      <c r="D490">
        <v>7</v>
      </c>
      <c r="E490" s="3">
        <v>190.12</v>
      </c>
      <c r="F490">
        <v>4</v>
      </c>
      <c r="G490" s="6">
        <v>788.65</v>
      </c>
      <c r="H490" t="s">
        <v>19</v>
      </c>
      <c r="I490" t="s">
        <v>35</v>
      </c>
      <c r="J490" t="str">
        <f>Table134[[#This Row],[First Name]]&amp;" "&amp;Table134[[#This Row],[Last Name]]</f>
        <v>James Garcia</v>
      </c>
      <c r="K490" t="s">
        <v>45</v>
      </c>
      <c r="L490" s="5">
        <f>Table134[[#This Row],[Calls Reached]]/Table134[[#This Row],[Total Calls]]</f>
        <v>0.30434782608695654</v>
      </c>
      <c r="M490" s="5">
        <f>Table134[[#This Row],[Deals Closed]]/Table134[[#This Row],[Calls Reached]]</f>
        <v>0.5714285714285714</v>
      </c>
      <c r="N490" s="6">
        <f>IFERROR(Table134[[#This Row],[Deal Value ($)]]/Table134[[#This Row],[Deals Closed]],0)</f>
        <v>197.16249999999999</v>
      </c>
      <c r="O490" s="6">
        <f>Table134[[#This Row],[Deal Value ($)]]/Table134[[#This Row],[Total Calls]]</f>
        <v>34.289130434782606</v>
      </c>
      <c r="P490" t="str">
        <f>IF(Table134[[#This Row],[Conversion Rate]]&gt;=20%,"High","Low")</f>
        <v>High</v>
      </c>
    </row>
    <row r="491" spans="1:16" x14ac:dyDescent="0.25">
      <c r="A491" s="2">
        <v>45597</v>
      </c>
      <c r="B491" s="2" t="str">
        <f>TEXT(Table134[[#This Row],[Date]],"MMM")</f>
        <v>Nov</v>
      </c>
      <c r="C491">
        <v>74</v>
      </c>
      <c r="D491">
        <v>13</v>
      </c>
      <c r="E491" s="3">
        <v>324.77999999999997</v>
      </c>
      <c r="F491">
        <v>7</v>
      </c>
      <c r="G491" s="6">
        <v>995.6</v>
      </c>
      <c r="H491" t="s">
        <v>18</v>
      </c>
      <c r="I491" t="s">
        <v>40</v>
      </c>
      <c r="J491" t="str">
        <f>Table134[[#This Row],[First Name]]&amp;" "&amp;Table134[[#This Row],[Last Name]]</f>
        <v>Chris Davis</v>
      </c>
      <c r="K491" t="s">
        <v>45</v>
      </c>
      <c r="L491" s="5">
        <f>Table134[[#This Row],[Calls Reached]]/Table134[[#This Row],[Total Calls]]</f>
        <v>0.17567567567567569</v>
      </c>
      <c r="M491" s="5">
        <f>Table134[[#This Row],[Deals Closed]]/Table134[[#This Row],[Calls Reached]]</f>
        <v>0.53846153846153844</v>
      </c>
      <c r="N491" s="6">
        <f>IFERROR(Table134[[#This Row],[Deal Value ($)]]/Table134[[#This Row],[Deals Closed]],0)</f>
        <v>142.22857142857143</v>
      </c>
      <c r="O491" s="6">
        <f>Table134[[#This Row],[Deal Value ($)]]/Table134[[#This Row],[Total Calls]]</f>
        <v>13.454054054054055</v>
      </c>
      <c r="P491" t="str">
        <f>IF(Table134[[#This Row],[Conversion Rate]]&gt;=20%,"High","Low")</f>
        <v>High</v>
      </c>
    </row>
    <row r="492" spans="1:16" x14ac:dyDescent="0.25">
      <c r="A492" s="2">
        <v>45597</v>
      </c>
      <c r="B492" s="2" t="str">
        <f>TEXT(Table134[[#This Row],[Date]],"MMM")</f>
        <v>Nov</v>
      </c>
      <c r="C492">
        <v>30</v>
      </c>
      <c r="D492">
        <v>21</v>
      </c>
      <c r="E492" s="3">
        <v>372.34</v>
      </c>
      <c r="F492">
        <v>7</v>
      </c>
      <c r="G492" s="6">
        <v>1172.04</v>
      </c>
      <c r="H492" t="s">
        <v>17</v>
      </c>
      <c r="I492" t="s">
        <v>43</v>
      </c>
      <c r="J492" t="str">
        <f>Table134[[#This Row],[First Name]]&amp;" "&amp;Table134[[#This Row],[Last Name]]</f>
        <v>Molly Williams</v>
      </c>
      <c r="K492" t="s">
        <v>46</v>
      </c>
      <c r="L492" s="5">
        <f>Table134[[#This Row],[Calls Reached]]/Table134[[#This Row],[Total Calls]]</f>
        <v>0.7</v>
      </c>
      <c r="M492" s="5">
        <f>Table134[[#This Row],[Deals Closed]]/Table134[[#This Row],[Calls Reached]]</f>
        <v>0.33333333333333331</v>
      </c>
      <c r="N492" s="6">
        <f>IFERROR(Table134[[#This Row],[Deal Value ($)]]/Table134[[#This Row],[Deals Closed]],0)</f>
        <v>167.43428571428572</v>
      </c>
      <c r="O492" s="6">
        <f>Table134[[#This Row],[Deal Value ($)]]/Table134[[#This Row],[Total Calls]]</f>
        <v>39.067999999999998</v>
      </c>
      <c r="P492" t="str">
        <f>IF(Table134[[#This Row],[Conversion Rate]]&gt;=20%,"High","Low")</f>
        <v>High</v>
      </c>
    </row>
    <row r="493" spans="1:16" x14ac:dyDescent="0.25">
      <c r="A493" s="2">
        <v>45597</v>
      </c>
      <c r="B493" s="2" t="str">
        <f>TEXT(Table134[[#This Row],[Date]],"MMM")</f>
        <v>Nov</v>
      </c>
      <c r="C493">
        <v>50</v>
      </c>
      <c r="D493">
        <v>9</v>
      </c>
      <c r="E493" s="3">
        <v>237.95</v>
      </c>
      <c r="F493">
        <v>5</v>
      </c>
      <c r="G493" s="6">
        <v>3982.36</v>
      </c>
      <c r="H493" t="s">
        <v>16</v>
      </c>
      <c r="I493" t="s">
        <v>40</v>
      </c>
      <c r="J493" t="str">
        <f>Table134[[#This Row],[First Name]]&amp;" "&amp;Table134[[#This Row],[Last Name]]</f>
        <v>Charlie Davis</v>
      </c>
      <c r="K493" t="s">
        <v>46</v>
      </c>
      <c r="L493" s="5">
        <f>Table134[[#This Row],[Calls Reached]]/Table134[[#This Row],[Total Calls]]</f>
        <v>0.18</v>
      </c>
      <c r="M493" s="5">
        <f>Table134[[#This Row],[Deals Closed]]/Table134[[#This Row],[Calls Reached]]</f>
        <v>0.55555555555555558</v>
      </c>
      <c r="N493" s="6">
        <f>IFERROR(Table134[[#This Row],[Deal Value ($)]]/Table134[[#This Row],[Deals Closed]],0)</f>
        <v>796.47199999999998</v>
      </c>
      <c r="O493" s="6">
        <f>Table134[[#This Row],[Deal Value ($)]]/Table134[[#This Row],[Total Calls]]</f>
        <v>79.647199999999998</v>
      </c>
      <c r="P493" t="str">
        <f>IF(Table134[[#This Row],[Conversion Rate]]&gt;=20%,"High","Low")</f>
        <v>High</v>
      </c>
    </row>
    <row r="494" spans="1:16" x14ac:dyDescent="0.25">
      <c r="A494" s="2">
        <v>45597</v>
      </c>
      <c r="B494" s="2" t="str">
        <f>TEXT(Table134[[#This Row],[Date]],"MMM")</f>
        <v>Nov</v>
      </c>
      <c r="C494">
        <v>53</v>
      </c>
      <c r="D494">
        <v>17</v>
      </c>
      <c r="E494" s="3">
        <v>404.22</v>
      </c>
      <c r="F494">
        <v>2</v>
      </c>
      <c r="G494" s="6">
        <v>3669.4</v>
      </c>
      <c r="H494" t="s">
        <v>11</v>
      </c>
      <c r="I494" t="s">
        <v>39</v>
      </c>
      <c r="J494" t="str">
        <f>Table134[[#This Row],[First Name]]&amp;" "&amp;Table134[[#This Row],[Last Name]]</f>
        <v>Diana Jones</v>
      </c>
      <c r="K494" t="s">
        <v>46</v>
      </c>
      <c r="L494" s="5">
        <f>Table134[[#This Row],[Calls Reached]]/Table134[[#This Row],[Total Calls]]</f>
        <v>0.32075471698113206</v>
      </c>
      <c r="M494" s="5">
        <f>Table134[[#This Row],[Deals Closed]]/Table134[[#This Row],[Calls Reached]]</f>
        <v>0.11764705882352941</v>
      </c>
      <c r="N494" s="6">
        <f>IFERROR(Table134[[#This Row],[Deal Value ($)]]/Table134[[#This Row],[Deals Closed]],0)</f>
        <v>1834.7</v>
      </c>
      <c r="O494" s="6">
        <f>Table134[[#This Row],[Deal Value ($)]]/Table134[[#This Row],[Total Calls]]</f>
        <v>69.233962264150946</v>
      </c>
      <c r="P494" t="str">
        <f>IF(Table134[[#This Row],[Conversion Rate]]&gt;=20%,"High","Low")</f>
        <v>Low</v>
      </c>
    </row>
    <row r="495" spans="1:16" x14ac:dyDescent="0.25">
      <c r="A495" s="2">
        <v>45597</v>
      </c>
      <c r="B495" s="2" t="str">
        <f>TEXT(Table134[[#This Row],[Date]],"MMM")</f>
        <v>Nov</v>
      </c>
      <c r="C495">
        <v>74</v>
      </c>
      <c r="D495">
        <v>17</v>
      </c>
      <c r="E495" s="3">
        <v>284.91000000000003</v>
      </c>
      <c r="F495">
        <v>3</v>
      </c>
      <c r="G495" s="6">
        <v>2481.64</v>
      </c>
      <c r="H495" t="s">
        <v>15</v>
      </c>
      <c r="I495" t="s">
        <v>43</v>
      </c>
      <c r="J495" t="str">
        <f>Table134[[#This Row],[First Name]]&amp;" "&amp;Table134[[#This Row],[Last Name]]</f>
        <v>Rick Williams</v>
      </c>
      <c r="K495" t="s">
        <v>46</v>
      </c>
      <c r="L495" s="5">
        <f>Table134[[#This Row],[Calls Reached]]/Table134[[#This Row],[Total Calls]]</f>
        <v>0.22972972972972974</v>
      </c>
      <c r="M495" s="5">
        <f>Table134[[#This Row],[Deals Closed]]/Table134[[#This Row],[Calls Reached]]</f>
        <v>0.17647058823529413</v>
      </c>
      <c r="N495" s="6">
        <f>IFERROR(Table134[[#This Row],[Deal Value ($)]]/Table134[[#This Row],[Deals Closed]],0)</f>
        <v>827.21333333333325</v>
      </c>
      <c r="O495" s="6">
        <f>Table134[[#This Row],[Deal Value ($)]]/Table134[[#This Row],[Total Calls]]</f>
        <v>33.535675675675677</v>
      </c>
      <c r="P495" t="str">
        <f>IF(Table134[[#This Row],[Conversion Rate]]&gt;=20%,"High","Low")</f>
        <v>Low</v>
      </c>
    </row>
    <row r="496" spans="1:16" x14ac:dyDescent="0.25">
      <c r="A496" s="2">
        <v>45597</v>
      </c>
      <c r="B496" s="2" t="str">
        <f>TEXT(Table134[[#This Row],[Date]],"MMM")</f>
        <v>Nov</v>
      </c>
      <c r="C496">
        <v>76</v>
      </c>
      <c r="D496">
        <v>14</v>
      </c>
      <c r="E496" s="3">
        <v>351.42</v>
      </c>
      <c r="F496">
        <v>4</v>
      </c>
      <c r="G496" s="6">
        <v>3917.99</v>
      </c>
      <c r="H496" t="s">
        <v>10</v>
      </c>
      <c r="I496" t="s">
        <v>43</v>
      </c>
      <c r="J496" t="str">
        <f>Table134[[#This Row],[First Name]]&amp;" "&amp;Table134[[#This Row],[Last Name]]</f>
        <v>Alice Williams</v>
      </c>
      <c r="K496" t="s">
        <v>46</v>
      </c>
      <c r="L496" s="5">
        <f>Table134[[#This Row],[Calls Reached]]/Table134[[#This Row],[Total Calls]]</f>
        <v>0.18421052631578946</v>
      </c>
      <c r="M496" s="5">
        <f>Table134[[#This Row],[Deals Closed]]/Table134[[#This Row],[Calls Reached]]</f>
        <v>0.2857142857142857</v>
      </c>
      <c r="N496" s="6">
        <f>IFERROR(Table134[[#This Row],[Deal Value ($)]]/Table134[[#This Row],[Deals Closed]],0)</f>
        <v>979.49749999999995</v>
      </c>
      <c r="O496" s="6">
        <f>Table134[[#This Row],[Deal Value ($)]]/Table134[[#This Row],[Total Calls]]</f>
        <v>51.552499999999995</v>
      </c>
      <c r="P496" t="str">
        <f>IF(Table134[[#This Row],[Conversion Rate]]&gt;=20%,"High","Low")</f>
        <v>High</v>
      </c>
    </row>
    <row r="497" spans="1:16" x14ac:dyDescent="0.25">
      <c r="A497" s="2">
        <v>45597</v>
      </c>
      <c r="B497" s="2" t="str">
        <f>TEXT(Table134[[#This Row],[Date]],"MMM")</f>
        <v>Nov</v>
      </c>
      <c r="C497">
        <v>52</v>
      </c>
      <c r="D497">
        <v>6</v>
      </c>
      <c r="E497" s="3">
        <v>492.23</v>
      </c>
      <c r="F497">
        <v>2</v>
      </c>
      <c r="G497" s="6">
        <v>3775.84</v>
      </c>
      <c r="H497" t="s">
        <v>14</v>
      </c>
      <c r="I497" t="s">
        <v>36</v>
      </c>
      <c r="J497" t="str">
        <f>Table134[[#This Row],[First Name]]&amp;" "&amp;Table134[[#This Row],[Last Name]]</f>
        <v>Bob Smith</v>
      </c>
      <c r="K497" t="s">
        <v>45</v>
      </c>
      <c r="L497" s="5">
        <f>Table134[[#This Row],[Calls Reached]]/Table134[[#This Row],[Total Calls]]</f>
        <v>0.11538461538461539</v>
      </c>
      <c r="M497" s="5">
        <f>Table134[[#This Row],[Deals Closed]]/Table134[[#This Row],[Calls Reached]]</f>
        <v>0.33333333333333331</v>
      </c>
      <c r="N497" s="6">
        <f>IFERROR(Table134[[#This Row],[Deal Value ($)]]/Table134[[#This Row],[Deals Closed]],0)</f>
        <v>1887.92</v>
      </c>
      <c r="O497" s="6">
        <f>Table134[[#This Row],[Deal Value ($)]]/Table134[[#This Row],[Total Calls]]</f>
        <v>72.612307692307695</v>
      </c>
      <c r="P497" t="str">
        <f>IF(Table134[[#This Row],[Conversion Rate]]&gt;=20%,"High","Low")</f>
        <v>High</v>
      </c>
    </row>
    <row r="498" spans="1:16" x14ac:dyDescent="0.25">
      <c r="A498" s="2">
        <v>45597</v>
      </c>
      <c r="B498" s="2" t="str">
        <f>TEXT(Table134[[#This Row],[Date]],"MMM")</f>
        <v>Nov</v>
      </c>
      <c r="C498">
        <v>67</v>
      </c>
      <c r="D498">
        <v>12</v>
      </c>
      <c r="E498" s="3">
        <v>352.6</v>
      </c>
      <c r="F498">
        <v>6</v>
      </c>
      <c r="G498" s="6">
        <v>4402.41</v>
      </c>
      <c r="H498" t="s">
        <v>9</v>
      </c>
      <c r="I498" t="s">
        <v>40</v>
      </c>
      <c r="J498" t="str">
        <f>Table134[[#This Row],[First Name]]&amp;" "&amp;Table134[[#This Row],[Last Name]]</f>
        <v>Evan Davis</v>
      </c>
      <c r="K498" t="s">
        <v>46</v>
      </c>
      <c r="L498" s="5">
        <f>Table134[[#This Row],[Calls Reached]]/Table134[[#This Row],[Total Calls]]</f>
        <v>0.17910447761194029</v>
      </c>
      <c r="M498" s="5">
        <f>Table134[[#This Row],[Deals Closed]]/Table134[[#This Row],[Calls Reached]]</f>
        <v>0.5</v>
      </c>
      <c r="N498" s="6">
        <f>IFERROR(Table134[[#This Row],[Deal Value ($)]]/Table134[[#This Row],[Deals Closed]],0)</f>
        <v>733.73500000000001</v>
      </c>
      <c r="O498" s="6">
        <f>Table134[[#This Row],[Deal Value ($)]]/Table134[[#This Row],[Total Calls]]</f>
        <v>65.707611940298506</v>
      </c>
      <c r="P498" t="str">
        <f>IF(Table134[[#This Row],[Conversion Rate]]&gt;=20%,"High","Low")</f>
        <v>High</v>
      </c>
    </row>
    <row r="499" spans="1:16" x14ac:dyDescent="0.25">
      <c r="A499" s="2">
        <v>45600</v>
      </c>
      <c r="B499" s="2" t="str">
        <f>TEXT(Table134[[#This Row],[Date]],"MMM")</f>
        <v>Nov</v>
      </c>
      <c r="C499">
        <v>98</v>
      </c>
      <c r="D499">
        <v>44</v>
      </c>
      <c r="E499" s="3">
        <v>119.6560699205495</v>
      </c>
      <c r="F499">
        <v>20</v>
      </c>
      <c r="G499" s="6">
        <v>3323.774584482665</v>
      </c>
      <c r="H499" t="s">
        <v>12</v>
      </c>
      <c r="I499" t="s">
        <v>40</v>
      </c>
      <c r="J499" t="str">
        <f>Table134[[#This Row],[First Name]]&amp;" "&amp;Table134[[#This Row],[Last Name]]</f>
        <v>Jake Davis</v>
      </c>
      <c r="K499" t="s">
        <v>46</v>
      </c>
      <c r="L499" s="5">
        <f>Table134[[#This Row],[Calls Reached]]/Table134[[#This Row],[Total Calls]]</f>
        <v>0.44897959183673469</v>
      </c>
      <c r="M499" s="5">
        <f>Table134[[#This Row],[Deals Closed]]/Table134[[#This Row],[Calls Reached]]</f>
        <v>0.45454545454545453</v>
      </c>
      <c r="N499" s="6">
        <f>IFERROR(Table134[[#This Row],[Deal Value ($)]]/Table134[[#This Row],[Deals Closed]],0)</f>
        <v>166.18872922413325</v>
      </c>
      <c r="O499" s="6">
        <f>Table134[[#This Row],[Deal Value ($)]]/Table134[[#This Row],[Total Calls]]</f>
        <v>33.916067188598625</v>
      </c>
      <c r="P499" t="str">
        <f>IF(Table134[[#This Row],[Conversion Rate]]&gt;=20%,"High","Low")</f>
        <v>High</v>
      </c>
    </row>
    <row r="500" spans="1:16" x14ac:dyDescent="0.25">
      <c r="A500" s="2">
        <v>45601</v>
      </c>
      <c r="B500" s="2" t="str">
        <f>TEXT(Table134[[#This Row],[Date]],"MMM")</f>
        <v>Nov</v>
      </c>
      <c r="C500">
        <v>86</v>
      </c>
      <c r="D500">
        <v>42</v>
      </c>
      <c r="E500" s="3">
        <v>499.70519945452128</v>
      </c>
      <c r="F500">
        <v>25</v>
      </c>
      <c r="G500" s="6">
        <v>4431.5470138385244</v>
      </c>
      <c r="H500" t="s">
        <v>49</v>
      </c>
      <c r="I500" t="s">
        <v>40</v>
      </c>
      <c r="J500" t="str">
        <f>Table134[[#This Row],[First Name]]&amp;" "&amp;Table134[[#This Row],[Last Name]]</f>
        <v>Jane Davis</v>
      </c>
      <c r="K500" t="s">
        <v>45</v>
      </c>
      <c r="L500" s="5">
        <f>Table134[[#This Row],[Calls Reached]]/Table134[[#This Row],[Total Calls]]</f>
        <v>0.48837209302325579</v>
      </c>
      <c r="M500" s="5">
        <f>Table134[[#This Row],[Deals Closed]]/Table134[[#This Row],[Calls Reached]]</f>
        <v>0.59523809523809523</v>
      </c>
      <c r="N500" s="6">
        <f>IFERROR(Table134[[#This Row],[Deal Value ($)]]/Table134[[#This Row],[Deals Closed]],0)</f>
        <v>177.26188055354098</v>
      </c>
      <c r="O500" s="6">
        <f>Table134[[#This Row],[Deal Value ($)]]/Table134[[#This Row],[Total Calls]]</f>
        <v>51.529616439982846</v>
      </c>
      <c r="P500" t="str">
        <f>IF(Table134[[#This Row],[Conversion Rate]]&gt;=20%,"High","Low")</f>
        <v>High</v>
      </c>
    </row>
    <row r="501" spans="1:16" x14ac:dyDescent="0.25">
      <c r="A501" s="2">
        <v>45602</v>
      </c>
      <c r="B501" s="2" t="str">
        <f>TEXT(Table134[[#This Row],[Date]],"MMM")</f>
        <v>Nov</v>
      </c>
      <c r="C501">
        <v>98</v>
      </c>
      <c r="D501">
        <v>42</v>
      </c>
      <c r="E501" s="3">
        <v>413.95019474545393</v>
      </c>
      <c r="F501">
        <v>35</v>
      </c>
      <c r="G501" s="6">
        <v>4928.3756113968284</v>
      </c>
      <c r="H501" t="s">
        <v>49</v>
      </c>
      <c r="I501" t="s">
        <v>36</v>
      </c>
      <c r="J501" t="str">
        <f>Table134[[#This Row],[First Name]]&amp;" "&amp;Table134[[#This Row],[Last Name]]</f>
        <v>Jane Smith</v>
      </c>
      <c r="K501" t="s">
        <v>46</v>
      </c>
      <c r="L501" s="5">
        <f>Table134[[#This Row],[Calls Reached]]/Table134[[#This Row],[Total Calls]]</f>
        <v>0.42857142857142855</v>
      </c>
      <c r="M501" s="5">
        <f>Table134[[#This Row],[Deals Closed]]/Table134[[#This Row],[Calls Reached]]</f>
        <v>0.83333333333333337</v>
      </c>
      <c r="N501" s="6">
        <f>IFERROR(Table134[[#This Row],[Deal Value ($)]]/Table134[[#This Row],[Deals Closed]],0)</f>
        <v>140.8107317541951</v>
      </c>
      <c r="O501" s="6">
        <f>Table134[[#This Row],[Deal Value ($)]]/Table134[[#This Row],[Total Calls]]</f>
        <v>50.289547055069676</v>
      </c>
      <c r="P501" t="str">
        <f>IF(Table134[[#This Row],[Conversion Rate]]&gt;=20%,"High","Low")</f>
        <v>High</v>
      </c>
    </row>
    <row r="502" spans="1:16" x14ac:dyDescent="0.25">
      <c r="A502" s="2">
        <v>45603</v>
      </c>
      <c r="B502" s="2" t="str">
        <f>TEXT(Table134[[#This Row],[Date]],"MMM")</f>
        <v>Nov</v>
      </c>
      <c r="C502">
        <v>66</v>
      </c>
      <c r="D502">
        <v>70</v>
      </c>
      <c r="E502" s="3">
        <v>140.87951597443589</v>
      </c>
      <c r="F502">
        <v>22</v>
      </c>
      <c r="G502" s="6">
        <v>3957.2303623903322</v>
      </c>
      <c r="H502" t="s">
        <v>34</v>
      </c>
      <c r="I502" t="s">
        <v>43</v>
      </c>
      <c r="J502" t="str">
        <f>Table134[[#This Row],[First Name]]&amp;" "&amp;Table134[[#This Row],[Last Name]]</f>
        <v>Mimi Williams</v>
      </c>
      <c r="K502" t="s">
        <v>45</v>
      </c>
      <c r="L502" s="5">
        <f>Table134[[#This Row],[Calls Reached]]/Table134[[#This Row],[Total Calls]]</f>
        <v>1.0606060606060606</v>
      </c>
      <c r="M502" s="5">
        <f>Table134[[#This Row],[Deals Closed]]/Table134[[#This Row],[Calls Reached]]</f>
        <v>0.31428571428571428</v>
      </c>
      <c r="N502" s="6">
        <f>IFERROR(Table134[[#This Row],[Deal Value ($)]]/Table134[[#This Row],[Deals Closed]],0)</f>
        <v>179.87410738137874</v>
      </c>
      <c r="O502" s="6">
        <f>Table134[[#This Row],[Deal Value ($)]]/Table134[[#This Row],[Total Calls]]</f>
        <v>59.958035793792909</v>
      </c>
      <c r="P502" t="str">
        <f>IF(Table134[[#This Row],[Conversion Rate]]&gt;=20%,"High","Low")</f>
        <v>High</v>
      </c>
    </row>
    <row r="503" spans="1:16" x14ac:dyDescent="0.25">
      <c r="A503" s="2">
        <v>45604</v>
      </c>
      <c r="B503" s="2" t="str">
        <f>TEXT(Table134[[#This Row],[Date]],"MMM")</f>
        <v>Nov</v>
      </c>
      <c r="C503">
        <v>98</v>
      </c>
      <c r="D503">
        <v>60</v>
      </c>
      <c r="E503" s="3">
        <v>536.78931205338858</v>
      </c>
      <c r="F503">
        <v>0</v>
      </c>
      <c r="G503" s="6">
        <v>2379.950519753002</v>
      </c>
      <c r="H503" t="s">
        <v>49</v>
      </c>
      <c r="I503" t="s">
        <v>43</v>
      </c>
      <c r="J503" t="str">
        <f>Table134[[#This Row],[First Name]]&amp;" "&amp;Table134[[#This Row],[Last Name]]</f>
        <v>Jane Williams</v>
      </c>
      <c r="K503" t="s">
        <v>45</v>
      </c>
      <c r="L503" s="5">
        <f>Table134[[#This Row],[Calls Reached]]/Table134[[#This Row],[Total Calls]]</f>
        <v>0.61224489795918369</v>
      </c>
      <c r="M503" s="5">
        <f>Table134[[#This Row],[Deals Closed]]/Table134[[#This Row],[Calls Reached]]</f>
        <v>0</v>
      </c>
      <c r="N503" s="6">
        <f>IFERROR(Table134[[#This Row],[Deal Value ($)]]/Table134[[#This Row],[Deals Closed]],0)</f>
        <v>0</v>
      </c>
      <c r="O503" s="6">
        <f>Table134[[#This Row],[Deal Value ($)]]/Table134[[#This Row],[Total Calls]]</f>
        <v>24.285209385234715</v>
      </c>
      <c r="P503" t="str">
        <f>IF(Table134[[#This Row],[Conversion Rate]]&gt;=20%,"High","Low")</f>
        <v>Low</v>
      </c>
    </row>
    <row r="504" spans="1:16" x14ac:dyDescent="0.25">
      <c r="A504" s="2">
        <v>45607</v>
      </c>
      <c r="B504" s="2" t="str">
        <f>TEXT(Table134[[#This Row],[Date]],"MMM")</f>
        <v>Nov</v>
      </c>
      <c r="C504">
        <v>51</v>
      </c>
      <c r="D504">
        <v>52</v>
      </c>
      <c r="E504" s="3">
        <v>560.43620026590656</v>
      </c>
      <c r="F504">
        <v>39</v>
      </c>
      <c r="G504" s="6">
        <v>2396.106510246816</v>
      </c>
      <c r="H504" t="s">
        <v>9</v>
      </c>
      <c r="I504" t="s">
        <v>44</v>
      </c>
      <c r="J504" t="str">
        <f>Table134[[#This Row],[First Name]]&amp;" "&amp;Table134[[#This Row],[Last Name]]</f>
        <v>Evan Brown</v>
      </c>
      <c r="K504" t="s">
        <v>46</v>
      </c>
      <c r="L504" s="5">
        <f>Table134[[#This Row],[Calls Reached]]/Table134[[#This Row],[Total Calls]]</f>
        <v>1.0196078431372548</v>
      </c>
      <c r="M504" s="5">
        <f>Table134[[#This Row],[Deals Closed]]/Table134[[#This Row],[Calls Reached]]</f>
        <v>0.75</v>
      </c>
      <c r="N504" s="6">
        <f>IFERROR(Table134[[#This Row],[Deal Value ($)]]/Table134[[#This Row],[Deals Closed]],0)</f>
        <v>61.438628467867076</v>
      </c>
      <c r="O504" s="6">
        <f>Table134[[#This Row],[Deal Value ($)]]/Table134[[#This Row],[Total Calls]]</f>
        <v>46.982480593074825</v>
      </c>
      <c r="P504" t="str">
        <f>IF(Table134[[#This Row],[Conversion Rate]]&gt;=20%,"High","Low")</f>
        <v>High</v>
      </c>
    </row>
    <row r="505" spans="1:16" x14ac:dyDescent="0.25">
      <c r="A505" s="2">
        <v>45608</v>
      </c>
      <c r="B505" s="2" t="str">
        <f>TEXT(Table134[[#This Row],[Date]],"MMM")</f>
        <v>Nov</v>
      </c>
      <c r="C505">
        <v>51</v>
      </c>
      <c r="D505">
        <v>21</v>
      </c>
      <c r="E505" s="3">
        <v>130.53897992743191</v>
      </c>
      <c r="F505">
        <v>14</v>
      </c>
      <c r="G505" s="6">
        <v>3819.1203571500118</v>
      </c>
      <c r="H505" t="s">
        <v>48</v>
      </c>
      <c r="I505" t="s">
        <v>37</v>
      </c>
      <c r="J505" t="str">
        <f>Table134[[#This Row],[First Name]]&amp;" "&amp;Table134[[#This Row],[Last Name]]</f>
        <v>Anna Johnson</v>
      </c>
      <c r="K505" t="s">
        <v>46</v>
      </c>
      <c r="L505" s="5">
        <f>Table134[[#This Row],[Calls Reached]]/Table134[[#This Row],[Total Calls]]</f>
        <v>0.41176470588235292</v>
      </c>
      <c r="M505" s="5">
        <f>Table134[[#This Row],[Deals Closed]]/Table134[[#This Row],[Calls Reached]]</f>
        <v>0.66666666666666663</v>
      </c>
      <c r="N505" s="6">
        <f>IFERROR(Table134[[#This Row],[Deal Value ($)]]/Table134[[#This Row],[Deals Closed]],0)</f>
        <v>272.79431122500085</v>
      </c>
      <c r="O505" s="6">
        <f>Table134[[#This Row],[Deal Value ($)]]/Table134[[#This Row],[Total Calls]]</f>
        <v>74.884712885294348</v>
      </c>
      <c r="P505" t="str">
        <f>IF(Table134[[#This Row],[Conversion Rate]]&gt;=20%,"High","Low")</f>
        <v>High</v>
      </c>
    </row>
    <row r="506" spans="1:16" x14ac:dyDescent="0.25">
      <c r="A506" s="2">
        <v>45609</v>
      </c>
      <c r="B506" s="2" t="str">
        <f>TEXT(Table134[[#This Row],[Date]],"MMM")</f>
        <v>Nov</v>
      </c>
      <c r="C506">
        <v>77</v>
      </c>
      <c r="D506">
        <v>76</v>
      </c>
      <c r="E506" s="3">
        <v>238.43882407360189</v>
      </c>
      <c r="F506">
        <v>20</v>
      </c>
      <c r="G506" s="6">
        <v>1574.497155957361</v>
      </c>
      <c r="H506" t="s">
        <v>47</v>
      </c>
      <c r="I506" t="s">
        <v>43</v>
      </c>
      <c r="J506" t="str">
        <f>Table134[[#This Row],[First Name]]&amp;" "&amp;Table134[[#This Row],[Last Name]]</f>
        <v>John Williams</v>
      </c>
      <c r="K506" t="s">
        <v>46</v>
      </c>
      <c r="L506" s="5">
        <f>Table134[[#This Row],[Calls Reached]]/Table134[[#This Row],[Total Calls]]</f>
        <v>0.98701298701298701</v>
      </c>
      <c r="M506" s="5">
        <f>Table134[[#This Row],[Deals Closed]]/Table134[[#This Row],[Calls Reached]]</f>
        <v>0.26315789473684209</v>
      </c>
      <c r="N506" s="6">
        <f>IFERROR(Table134[[#This Row],[Deal Value ($)]]/Table134[[#This Row],[Deals Closed]],0)</f>
        <v>78.724857797868054</v>
      </c>
      <c r="O506" s="6">
        <f>Table134[[#This Row],[Deal Value ($)]]/Table134[[#This Row],[Total Calls]]</f>
        <v>20.44801501243326</v>
      </c>
      <c r="P506" t="str">
        <f>IF(Table134[[#This Row],[Conversion Rate]]&gt;=20%,"High","Low")</f>
        <v>High</v>
      </c>
    </row>
    <row r="507" spans="1:16" x14ac:dyDescent="0.25">
      <c r="A507" s="2">
        <v>45610</v>
      </c>
      <c r="B507" s="2" t="str">
        <f>TEXT(Table134[[#This Row],[Date]],"MMM")</f>
        <v>Nov</v>
      </c>
      <c r="C507">
        <v>72</v>
      </c>
      <c r="D507">
        <v>74</v>
      </c>
      <c r="E507" s="3">
        <v>503.10063989653071</v>
      </c>
      <c r="F507">
        <v>8</v>
      </c>
      <c r="G507" s="6">
        <v>997.13350909127598</v>
      </c>
      <c r="H507" t="s">
        <v>18</v>
      </c>
      <c r="I507" t="s">
        <v>43</v>
      </c>
      <c r="J507" t="str">
        <f>Table134[[#This Row],[First Name]]&amp;" "&amp;Table134[[#This Row],[Last Name]]</f>
        <v>Chris Williams</v>
      </c>
      <c r="K507" t="s">
        <v>46</v>
      </c>
      <c r="L507" s="5">
        <f>Table134[[#This Row],[Calls Reached]]/Table134[[#This Row],[Total Calls]]</f>
        <v>1.0277777777777777</v>
      </c>
      <c r="M507" s="5">
        <f>Table134[[#This Row],[Deals Closed]]/Table134[[#This Row],[Calls Reached]]</f>
        <v>0.10810810810810811</v>
      </c>
      <c r="N507" s="6">
        <f>IFERROR(Table134[[#This Row],[Deal Value ($)]]/Table134[[#This Row],[Deals Closed]],0)</f>
        <v>124.6416886364095</v>
      </c>
      <c r="O507" s="6">
        <f>Table134[[#This Row],[Deal Value ($)]]/Table134[[#This Row],[Total Calls]]</f>
        <v>13.849076515156611</v>
      </c>
      <c r="P507" t="str">
        <f>IF(Table134[[#This Row],[Conversion Rate]]&gt;=20%,"High","Low")</f>
        <v>Low</v>
      </c>
    </row>
    <row r="508" spans="1:16" x14ac:dyDescent="0.25">
      <c r="A508" s="2">
        <v>45611</v>
      </c>
      <c r="B508" s="2" t="str">
        <f>TEXT(Table134[[#This Row],[Date]],"MMM")</f>
        <v>Nov</v>
      </c>
      <c r="C508">
        <v>86</v>
      </c>
      <c r="D508">
        <v>42</v>
      </c>
      <c r="E508" s="3">
        <v>474.12984519182919</v>
      </c>
      <c r="F508">
        <v>8</v>
      </c>
      <c r="G508" s="6">
        <v>2095.7997093834952</v>
      </c>
      <c r="H508" t="s">
        <v>9</v>
      </c>
      <c r="I508" t="s">
        <v>35</v>
      </c>
      <c r="J508" t="str">
        <f>Table134[[#This Row],[First Name]]&amp;" "&amp;Table134[[#This Row],[Last Name]]</f>
        <v>Evan Garcia</v>
      </c>
      <c r="K508" t="s">
        <v>46</v>
      </c>
      <c r="L508" s="5">
        <f>Table134[[#This Row],[Calls Reached]]/Table134[[#This Row],[Total Calls]]</f>
        <v>0.48837209302325579</v>
      </c>
      <c r="M508" s="5">
        <f>Table134[[#This Row],[Deals Closed]]/Table134[[#This Row],[Calls Reached]]</f>
        <v>0.19047619047619047</v>
      </c>
      <c r="N508" s="6">
        <f>IFERROR(Table134[[#This Row],[Deal Value ($)]]/Table134[[#This Row],[Deals Closed]],0)</f>
        <v>261.97496367293689</v>
      </c>
      <c r="O508" s="6">
        <f>Table134[[#This Row],[Deal Value ($)]]/Table134[[#This Row],[Total Calls]]</f>
        <v>24.369764062598779</v>
      </c>
      <c r="P508" t="str">
        <f>IF(Table134[[#This Row],[Conversion Rate]]&gt;=20%,"High","Low")</f>
        <v>Low</v>
      </c>
    </row>
    <row r="509" spans="1:16" x14ac:dyDescent="0.25">
      <c r="A509" s="2">
        <v>45614</v>
      </c>
      <c r="B509" s="2" t="str">
        <f>TEXT(Table134[[#This Row],[Date]],"MMM")</f>
        <v>Nov</v>
      </c>
      <c r="C509">
        <v>81</v>
      </c>
      <c r="D509">
        <v>49</v>
      </c>
      <c r="E509" s="3">
        <v>192.2605096781887</v>
      </c>
      <c r="F509">
        <v>9</v>
      </c>
      <c r="G509" s="6">
        <v>1792.575462443368</v>
      </c>
      <c r="H509" t="s">
        <v>47</v>
      </c>
      <c r="I509" t="s">
        <v>35</v>
      </c>
      <c r="J509" t="str">
        <f>Table134[[#This Row],[First Name]]&amp;" "&amp;Table134[[#This Row],[Last Name]]</f>
        <v>John Garcia</v>
      </c>
      <c r="K509" t="s">
        <v>46</v>
      </c>
      <c r="L509" s="5">
        <f>Table134[[#This Row],[Calls Reached]]/Table134[[#This Row],[Total Calls]]</f>
        <v>0.60493827160493829</v>
      </c>
      <c r="M509" s="5">
        <f>Table134[[#This Row],[Deals Closed]]/Table134[[#This Row],[Calls Reached]]</f>
        <v>0.18367346938775511</v>
      </c>
      <c r="N509" s="6">
        <f>IFERROR(Table134[[#This Row],[Deal Value ($)]]/Table134[[#This Row],[Deals Closed]],0)</f>
        <v>199.17505138259645</v>
      </c>
      <c r="O509" s="6">
        <f>Table134[[#This Row],[Deal Value ($)]]/Table134[[#This Row],[Total Calls]]</f>
        <v>22.13056126473294</v>
      </c>
      <c r="P509" t="str">
        <f>IF(Table134[[#This Row],[Conversion Rate]]&gt;=20%,"High","Low")</f>
        <v>Low</v>
      </c>
    </row>
    <row r="510" spans="1:16" x14ac:dyDescent="0.25">
      <c r="A510" s="2">
        <v>45615</v>
      </c>
      <c r="B510" s="2" t="str">
        <f>TEXT(Table134[[#This Row],[Date]],"MMM")</f>
        <v>Nov</v>
      </c>
      <c r="C510">
        <v>82</v>
      </c>
      <c r="D510">
        <v>52</v>
      </c>
      <c r="E510" s="3">
        <v>204.67466166835521</v>
      </c>
      <c r="F510">
        <v>25</v>
      </c>
      <c r="G510" s="6">
        <v>1833.3865420519551</v>
      </c>
      <c r="H510" t="s">
        <v>12</v>
      </c>
      <c r="I510" t="s">
        <v>42</v>
      </c>
      <c r="J510" t="str">
        <f>Table134[[#This Row],[First Name]]&amp;" "&amp;Table134[[#This Row],[Last Name]]</f>
        <v>Jake Martinez</v>
      </c>
      <c r="K510" t="s">
        <v>46</v>
      </c>
      <c r="L510" s="5">
        <f>Table134[[#This Row],[Calls Reached]]/Table134[[#This Row],[Total Calls]]</f>
        <v>0.63414634146341464</v>
      </c>
      <c r="M510" s="5">
        <f>Table134[[#This Row],[Deals Closed]]/Table134[[#This Row],[Calls Reached]]</f>
        <v>0.48076923076923078</v>
      </c>
      <c r="N510" s="6">
        <f>IFERROR(Table134[[#This Row],[Deal Value ($)]]/Table134[[#This Row],[Deals Closed]],0)</f>
        <v>73.335461682078204</v>
      </c>
      <c r="O510" s="6">
        <f>Table134[[#This Row],[Deal Value ($)]]/Table134[[#This Row],[Total Calls]]</f>
        <v>22.358372464048234</v>
      </c>
      <c r="P510" t="str">
        <f>IF(Table134[[#This Row],[Conversion Rate]]&gt;=20%,"High","Low")</f>
        <v>High</v>
      </c>
    </row>
    <row r="511" spans="1:16" x14ac:dyDescent="0.25">
      <c r="A511" s="2">
        <v>45616</v>
      </c>
      <c r="B511" s="2" t="str">
        <f>TEXT(Table134[[#This Row],[Date]],"MMM")</f>
        <v>Nov</v>
      </c>
      <c r="C511">
        <v>50</v>
      </c>
      <c r="D511">
        <v>53</v>
      </c>
      <c r="E511" s="3">
        <v>285.23605139569099</v>
      </c>
      <c r="F511">
        <v>34</v>
      </c>
      <c r="G511" s="6">
        <v>1551.234879724595</v>
      </c>
      <c r="H511" t="s">
        <v>12</v>
      </c>
      <c r="I511" t="s">
        <v>38</v>
      </c>
      <c r="J511" t="str">
        <f>Table134[[#This Row],[First Name]]&amp;" "&amp;Table134[[#This Row],[Last Name]]</f>
        <v>Jake Rodriguez</v>
      </c>
      <c r="K511" t="s">
        <v>45</v>
      </c>
      <c r="L511" s="5">
        <f>Table134[[#This Row],[Calls Reached]]/Table134[[#This Row],[Total Calls]]</f>
        <v>1.06</v>
      </c>
      <c r="M511" s="5">
        <f>Table134[[#This Row],[Deals Closed]]/Table134[[#This Row],[Calls Reached]]</f>
        <v>0.64150943396226412</v>
      </c>
      <c r="N511" s="6">
        <f>IFERROR(Table134[[#This Row],[Deal Value ($)]]/Table134[[#This Row],[Deals Closed]],0)</f>
        <v>45.624555286017497</v>
      </c>
      <c r="O511" s="6">
        <f>Table134[[#This Row],[Deal Value ($)]]/Table134[[#This Row],[Total Calls]]</f>
        <v>31.024697594491901</v>
      </c>
      <c r="P511" t="str">
        <f>IF(Table134[[#This Row],[Conversion Rate]]&gt;=20%,"High","Low")</f>
        <v>High</v>
      </c>
    </row>
    <row r="512" spans="1:16" x14ac:dyDescent="0.25">
      <c r="A512" s="2">
        <v>45617</v>
      </c>
      <c r="B512" s="2" t="str">
        <f>TEXT(Table134[[#This Row],[Date]],"MMM")</f>
        <v>Nov</v>
      </c>
      <c r="C512">
        <v>68</v>
      </c>
      <c r="D512">
        <v>38</v>
      </c>
      <c r="E512" s="3">
        <v>342.26149259551067</v>
      </c>
      <c r="F512">
        <v>24</v>
      </c>
      <c r="G512" s="6">
        <v>689.41935336362849</v>
      </c>
      <c r="H512" t="s">
        <v>12</v>
      </c>
      <c r="I512" t="s">
        <v>38</v>
      </c>
      <c r="J512" t="str">
        <f>Table134[[#This Row],[First Name]]&amp;" "&amp;Table134[[#This Row],[Last Name]]</f>
        <v>Jake Rodriguez</v>
      </c>
      <c r="K512" t="s">
        <v>45</v>
      </c>
      <c r="L512" s="5">
        <f>Table134[[#This Row],[Calls Reached]]/Table134[[#This Row],[Total Calls]]</f>
        <v>0.55882352941176472</v>
      </c>
      <c r="M512" s="5">
        <f>Table134[[#This Row],[Deals Closed]]/Table134[[#This Row],[Calls Reached]]</f>
        <v>0.63157894736842102</v>
      </c>
      <c r="N512" s="6">
        <f>IFERROR(Table134[[#This Row],[Deal Value ($)]]/Table134[[#This Row],[Deals Closed]],0)</f>
        <v>28.725806390151188</v>
      </c>
      <c r="O512" s="6">
        <f>Table134[[#This Row],[Deal Value ($)]]/Table134[[#This Row],[Total Calls]]</f>
        <v>10.138519902406301</v>
      </c>
      <c r="P512" t="str">
        <f>IF(Table134[[#This Row],[Conversion Rate]]&gt;=20%,"High","Low")</f>
        <v>High</v>
      </c>
    </row>
    <row r="513" spans="1:16" x14ac:dyDescent="0.25">
      <c r="A513" s="2">
        <v>45618</v>
      </c>
      <c r="B513" s="2" t="str">
        <f>TEXT(Table134[[#This Row],[Date]],"MMM")</f>
        <v>Nov</v>
      </c>
      <c r="C513">
        <v>51</v>
      </c>
      <c r="D513">
        <v>22</v>
      </c>
      <c r="E513" s="3">
        <v>409.12738576514801</v>
      </c>
      <c r="F513">
        <v>25</v>
      </c>
      <c r="G513" s="6">
        <v>580.43270630036216</v>
      </c>
      <c r="H513" t="s">
        <v>9</v>
      </c>
      <c r="I513" t="s">
        <v>36</v>
      </c>
      <c r="J513" t="str">
        <f>Table134[[#This Row],[First Name]]&amp;" "&amp;Table134[[#This Row],[Last Name]]</f>
        <v>Evan Smith</v>
      </c>
      <c r="K513" t="s">
        <v>45</v>
      </c>
      <c r="L513" s="5">
        <f>Table134[[#This Row],[Calls Reached]]/Table134[[#This Row],[Total Calls]]</f>
        <v>0.43137254901960786</v>
      </c>
      <c r="M513" s="5">
        <f>Table134[[#This Row],[Deals Closed]]/Table134[[#This Row],[Calls Reached]]</f>
        <v>1.1363636363636365</v>
      </c>
      <c r="N513" s="6">
        <f>IFERROR(Table134[[#This Row],[Deal Value ($)]]/Table134[[#This Row],[Deals Closed]],0)</f>
        <v>23.217308252014487</v>
      </c>
      <c r="O513" s="6">
        <f>Table134[[#This Row],[Deal Value ($)]]/Table134[[#This Row],[Total Calls]]</f>
        <v>11.381033456869845</v>
      </c>
      <c r="P513" t="str">
        <f>IF(Table134[[#This Row],[Conversion Rate]]&gt;=20%,"High","Low")</f>
        <v>High</v>
      </c>
    </row>
    <row r="514" spans="1:16" x14ac:dyDescent="0.25">
      <c r="A514" s="2">
        <v>45621</v>
      </c>
      <c r="B514" s="2" t="str">
        <f>TEXT(Table134[[#This Row],[Date]],"MMM")</f>
        <v>Nov</v>
      </c>
      <c r="C514">
        <v>93</v>
      </c>
      <c r="D514">
        <v>21</v>
      </c>
      <c r="E514" s="3">
        <v>284.45681978488619</v>
      </c>
      <c r="F514">
        <v>10</v>
      </c>
      <c r="G514" s="6">
        <v>4944.7507538121417</v>
      </c>
      <c r="H514" t="s">
        <v>9</v>
      </c>
      <c r="I514" t="s">
        <v>38</v>
      </c>
      <c r="J514" t="str">
        <f>Table134[[#This Row],[First Name]]&amp;" "&amp;Table134[[#This Row],[Last Name]]</f>
        <v>Evan Rodriguez</v>
      </c>
      <c r="K514" t="s">
        <v>45</v>
      </c>
      <c r="L514" s="5">
        <f>Table134[[#This Row],[Calls Reached]]/Table134[[#This Row],[Total Calls]]</f>
        <v>0.22580645161290322</v>
      </c>
      <c r="M514" s="5">
        <f>Table134[[#This Row],[Deals Closed]]/Table134[[#This Row],[Calls Reached]]</f>
        <v>0.47619047619047616</v>
      </c>
      <c r="N514" s="6">
        <f>IFERROR(Table134[[#This Row],[Deal Value ($)]]/Table134[[#This Row],[Deals Closed]],0)</f>
        <v>494.4750753812142</v>
      </c>
      <c r="O514" s="6">
        <f>Table134[[#This Row],[Deal Value ($)]]/Table134[[#This Row],[Total Calls]]</f>
        <v>53.16936294421658</v>
      </c>
      <c r="P514" t="str">
        <f>IF(Table134[[#This Row],[Conversion Rate]]&gt;=20%,"High","Low")</f>
        <v>High</v>
      </c>
    </row>
    <row r="515" spans="1:16" x14ac:dyDescent="0.25">
      <c r="A515" s="2">
        <v>45622</v>
      </c>
      <c r="B515" s="2" t="str">
        <f>TEXT(Table134[[#This Row],[Date]],"MMM")</f>
        <v>Nov</v>
      </c>
      <c r="C515">
        <v>75</v>
      </c>
      <c r="D515">
        <v>55</v>
      </c>
      <c r="E515" s="3">
        <v>331.26735806657388</v>
      </c>
      <c r="F515">
        <v>37</v>
      </c>
      <c r="G515" s="6">
        <v>2424.979101811381</v>
      </c>
      <c r="H515" t="s">
        <v>18</v>
      </c>
      <c r="I515" t="s">
        <v>44</v>
      </c>
      <c r="J515" t="str">
        <f>Table134[[#This Row],[First Name]]&amp;" "&amp;Table134[[#This Row],[Last Name]]</f>
        <v>Chris Brown</v>
      </c>
      <c r="K515" t="s">
        <v>45</v>
      </c>
      <c r="L515" s="5">
        <f>Table134[[#This Row],[Calls Reached]]/Table134[[#This Row],[Total Calls]]</f>
        <v>0.73333333333333328</v>
      </c>
      <c r="M515" s="5">
        <f>Table134[[#This Row],[Deals Closed]]/Table134[[#This Row],[Calls Reached]]</f>
        <v>0.67272727272727273</v>
      </c>
      <c r="N515" s="6">
        <f>IFERROR(Table134[[#This Row],[Deal Value ($)]]/Table134[[#This Row],[Deals Closed]],0)</f>
        <v>65.539975724631915</v>
      </c>
      <c r="O515" s="6">
        <f>Table134[[#This Row],[Deal Value ($)]]/Table134[[#This Row],[Total Calls]]</f>
        <v>32.333054690818415</v>
      </c>
      <c r="P515" t="str">
        <f>IF(Table134[[#This Row],[Conversion Rate]]&gt;=20%,"High","Low")</f>
        <v>High</v>
      </c>
    </row>
    <row r="516" spans="1:16" x14ac:dyDescent="0.25">
      <c r="A516" s="2">
        <v>45623</v>
      </c>
      <c r="B516" s="2" t="str">
        <f>TEXT(Table134[[#This Row],[Date]],"MMM")</f>
        <v>Nov</v>
      </c>
      <c r="C516">
        <v>81</v>
      </c>
      <c r="D516">
        <v>11</v>
      </c>
      <c r="E516" s="3">
        <v>473.7354690668783</v>
      </c>
      <c r="F516">
        <v>1</v>
      </c>
      <c r="G516" s="6">
        <v>2229.469912218568</v>
      </c>
      <c r="H516" t="s">
        <v>48</v>
      </c>
      <c r="I516" t="s">
        <v>36</v>
      </c>
      <c r="J516" t="str">
        <f>Table134[[#This Row],[First Name]]&amp;" "&amp;Table134[[#This Row],[Last Name]]</f>
        <v>Anna Smith</v>
      </c>
      <c r="K516" t="s">
        <v>46</v>
      </c>
      <c r="L516" s="5">
        <f>Table134[[#This Row],[Calls Reached]]/Table134[[#This Row],[Total Calls]]</f>
        <v>0.13580246913580246</v>
      </c>
      <c r="M516" s="5">
        <f>Table134[[#This Row],[Deals Closed]]/Table134[[#This Row],[Calls Reached]]</f>
        <v>9.0909090909090912E-2</v>
      </c>
      <c r="N516" s="6">
        <f>IFERROR(Table134[[#This Row],[Deal Value ($)]]/Table134[[#This Row],[Deals Closed]],0)</f>
        <v>2229.469912218568</v>
      </c>
      <c r="O516" s="6">
        <f>Table134[[#This Row],[Deal Value ($)]]/Table134[[#This Row],[Total Calls]]</f>
        <v>27.524319903932938</v>
      </c>
      <c r="P516" t="str">
        <f>IF(Table134[[#This Row],[Conversion Rate]]&gt;=20%,"High","Low")</f>
        <v>Low</v>
      </c>
    </row>
    <row r="517" spans="1:16" x14ac:dyDescent="0.25">
      <c r="A517" s="2">
        <v>45624</v>
      </c>
      <c r="B517" s="2" t="str">
        <f>TEXT(Table134[[#This Row],[Date]],"MMM")</f>
        <v>Nov</v>
      </c>
      <c r="C517">
        <v>55</v>
      </c>
      <c r="D517">
        <v>44</v>
      </c>
      <c r="E517" s="3">
        <v>118.34160144529891</v>
      </c>
      <c r="F517">
        <v>6</v>
      </c>
      <c r="G517" s="6">
        <v>3558.4127721188138</v>
      </c>
      <c r="H517" t="s">
        <v>10</v>
      </c>
      <c r="I517" t="s">
        <v>42</v>
      </c>
      <c r="J517" t="str">
        <f>Table134[[#This Row],[First Name]]&amp;" "&amp;Table134[[#This Row],[Last Name]]</f>
        <v>Alice Martinez</v>
      </c>
      <c r="K517" t="s">
        <v>45</v>
      </c>
      <c r="L517" s="5">
        <f>Table134[[#This Row],[Calls Reached]]/Table134[[#This Row],[Total Calls]]</f>
        <v>0.8</v>
      </c>
      <c r="M517" s="5">
        <f>Table134[[#This Row],[Deals Closed]]/Table134[[#This Row],[Calls Reached]]</f>
        <v>0.13636363636363635</v>
      </c>
      <c r="N517" s="6">
        <f>IFERROR(Table134[[#This Row],[Deal Value ($)]]/Table134[[#This Row],[Deals Closed]],0)</f>
        <v>593.06879535313567</v>
      </c>
      <c r="O517" s="6">
        <f>Table134[[#This Row],[Deal Value ($)]]/Table134[[#This Row],[Total Calls]]</f>
        <v>64.698414038523893</v>
      </c>
      <c r="P517" t="str">
        <f>IF(Table134[[#This Row],[Conversion Rate]]&gt;=20%,"High","Low")</f>
        <v>Low</v>
      </c>
    </row>
    <row r="518" spans="1:16" x14ac:dyDescent="0.25">
      <c r="A518" s="2">
        <v>45625</v>
      </c>
      <c r="B518" s="2" t="str">
        <f>TEXT(Table134[[#This Row],[Date]],"MMM")</f>
        <v>Nov</v>
      </c>
      <c r="C518">
        <v>81</v>
      </c>
      <c r="D518">
        <v>17</v>
      </c>
      <c r="E518" s="3">
        <v>226.21847217201039</v>
      </c>
      <c r="F518">
        <v>17</v>
      </c>
      <c r="G518" s="6">
        <v>1482.142495392789</v>
      </c>
      <c r="H518" t="s">
        <v>49</v>
      </c>
      <c r="I518" t="s">
        <v>35</v>
      </c>
      <c r="J518" t="str">
        <f>Table134[[#This Row],[First Name]]&amp;" "&amp;Table134[[#This Row],[Last Name]]</f>
        <v>Jane Garcia</v>
      </c>
      <c r="K518" t="s">
        <v>45</v>
      </c>
      <c r="L518" s="5">
        <f>Table134[[#This Row],[Calls Reached]]/Table134[[#This Row],[Total Calls]]</f>
        <v>0.20987654320987653</v>
      </c>
      <c r="M518" s="5">
        <f>Table134[[#This Row],[Deals Closed]]/Table134[[#This Row],[Calls Reached]]</f>
        <v>1</v>
      </c>
      <c r="N518" s="6">
        <f>IFERROR(Table134[[#This Row],[Deal Value ($)]]/Table134[[#This Row],[Deals Closed]],0)</f>
        <v>87.184852670164062</v>
      </c>
      <c r="O518" s="6">
        <f>Table134[[#This Row],[Deal Value ($)]]/Table134[[#This Row],[Total Calls]]</f>
        <v>18.298055498676408</v>
      </c>
      <c r="P518" t="str">
        <f>IF(Table134[[#This Row],[Conversion Rate]]&gt;=20%,"High","Low")</f>
        <v>High</v>
      </c>
    </row>
    <row r="519" spans="1:16" x14ac:dyDescent="0.25">
      <c r="A519" s="2">
        <v>45627</v>
      </c>
      <c r="B519" s="2" t="str">
        <f>TEXT(Table134[[#This Row],[Date]],"MMM")</f>
        <v>Dec</v>
      </c>
      <c r="C519">
        <v>39</v>
      </c>
      <c r="D519">
        <v>15</v>
      </c>
      <c r="E519" s="3">
        <v>319.08999999999997</v>
      </c>
      <c r="F519">
        <v>7</v>
      </c>
      <c r="G519" s="6">
        <v>4573.5</v>
      </c>
      <c r="H519" t="s">
        <v>34</v>
      </c>
      <c r="I519" t="s">
        <v>43</v>
      </c>
      <c r="J519" t="str">
        <f>Table134[[#This Row],[First Name]]&amp;" "&amp;Table134[[#This Row],[Last Name]]</f>
        <v>Mimi Williams</v>
      </c>
      <c r="K519" t="s">
        <v>46</v>
      </c>
      <c r="L519" s="5">
        <f>Table134[[#This Row],[Calls Reached]]/Table134[[#This Row],[Total Calls]]</f>
        <v>0.38461538461538464</v>
      </c>
      <c r="M519" s="5">
        <f>Table134[[#This Row],[Deals Closed]]/Table134[[#This Row],[Calls Reached]]</f>
        <v>0.46666666666666667</v>
      </c>
      <c r="N519" s="6">
        <f>IFERROR(Table134[[#This Row],[Deal Value ($)]]/Table134[[#This Row],[Deals Closed]],0)</f>
        <v>653.35714285714289</v>
      </c>
      <c r="O519" s="6">
        <f>Table134[[#This Row],[Deal Value ($)]]/Table134[[#This Row],[Total Calls]]</f>
        <v>117.26923076923077</v>
      </c>
      <c r="P519" t="str">
        <f>IF(Table134[[#This Row],[Conversion Rate]]&gt;=20%,"High","Low")</f>
        <v>High</v>
      </c>
    </row>
    <row r="520" spans="1:16" x14ac:dyDescent="0.25">
      <c r="A520" s="2">
        <v>45627</v>
      </c>
      <c r="B520" s="2" t="str">
        <f>TEXT(Table134[[#This Row],[Date]],"MMM")</f>
        <v>Dec</v>
      </c>
      <c r="C520">
        <v>32</v>
      </c>
      <c r="D520">
        <v>10</v>
      </c>
      <c r="E520" s="3">
        <v>500.83</v>
      </c>
      <c r="F520">
        <v>4</v>
      </c>
      <c r="G520" s="6">
        <v>239.13</v>
      </c>
      <c r="H520" t="s">
        <v>33</v>
      </c>
      <c r="I520" t="s">
        <v>44</v>
      </c>
      <c r="J520" t="str">
        <f>Table134[[#This Row],[First Name]]&amp;" "&amp;Table134[[#This Row],[Last Name]]</f>
        <v>David Brown</v>
      </c>
      <c r="K520" t="s">
        <v>46</v>
      </c>
      <c r="L520" s="5">
        <f>Table134[[#This Row],[Calls Reached]]/Table134[[#This Row],[Total Calls]]</f>
        <v>0.3125</v>
      </c>
      <c r="M520" s="5">
        <f>Table134[[#This Row],[Deals Closed]]/Table134[[#This Row],[Calls Reached]]</f>
        <v>0.4</v>
      </c>
      <c r="N520" s="6">
        <f>IFERROR(Table134[[#This Row],[Deal Value ($)]]/Table134[[#This Row],[Deals Closed]],0)</f>
        <v>59.782499999999999</v>
      </c>
      <c r="O520" s="6">
        <f>Table134[[#This Row],[Deal Value ($)]]/Table134[[#This Row],[Total Calls]]</f>
        <v>7.4728124999999999</v>
      </c>
      <c r="P520" t="str">
        <f>IF(Table134[[#This Row],[Conversion Rate]]&gt;=20%,"High","Low")</f>
        <v>High</v>
      </c>
    </row>
    <row r="521" spans="1:16" x14ac:dyDescent="0.25">
      <c r="A521" s="2">
        <v>45627</v>
      </c>
      <c r="B521" s="2" t="str">
        <f>TEXT(Table134[[#This Row],[Date]],"MMM")</f>
        <v>Dec</v>
      </c>
      <c r="C521">
        <v>61</v>
      </c>
      <c r="D521">
        <v>13</v>
      </c>
      <c r="E521" s="3">
        <v>356.61</v>
      </c>
      <c r="F521">
        <v>7</v>
      </c>
      <c r="G521" s="6">
        <v>4099.6400000000003</v>
      </c>
      <c r="H521" t="s">
        <v>9</v>
      </c>
      <c r="I521" t="s">
        <v>39</v>
      </c>
      <c r="J521" t="str">
        <f>Table134[[#This Row],[First Name]]&amp;" "&amp;Table134[[#This Row],[Last Name]]</f>
        <v>Evan Jones</v>
      </c>
      <c r="K521" t="s">
        <v>46</v>
      </c>
      <c r="L521" s="5">
        <f>Table134[[#This Row],[Calls Reached]]/Table134[[#This Row],[Total Calls]]</f>
        <v>0.21311475409836064</v>
      </c>
      <c r="M521" s="5">
        <f>Table134[[#This Row],[Deals Closed]]/Table134[[#This Row],[Calls Reached]]</f>
        <v>0.53846153846153844</v>
      </c>
      <c r="N521" s="6">
        <f>IFERROR(Table134[[#This Row],[Deal Value ($)]]/Table134[[#This Row],[Deals Closed]],0)</f>
        <v>585.66285714285721</v>
      </c>
      <c r="O521" s="6">
        <f>Table134[[#This Row],[Deal Value ($)]]/Table134[[#This Row],[Total Calls]]</f>
        <v>67.207213114754097</v>
      </c>
      <c r="P521" t="str">
        <f>IF(Table134[[#This Row],[Conversion Rate]]&gt;=20%,"High","Low")</f>
        <v>High</v>
      </c>
    </row>
    <row r="522" spans="1:16" x14ac:dyDescent="0.25">
      <c r="A522" s="2">
        <v>45627</v>
      </c>
      <c r="B522" s="2" t="str">
        <f>TEXT(Table134[[#This Row],[Date]],"MMM")</f>
        <v>Dec</v>
      </c>
      <c r="C522">
        <v>84</v>
      </c>
      <c r="D522">
        <v>14</v>
      </c>
      <c r="E522" s="3">
        <v>370.36</v>
      </c>
      <c r="F522">
        <v>0</v>
      </c>
      <c r="G522" s="6">
        <v>2605.02</v>
      </c>
      <c r="H522" t="s">
        <v>32</v>
      </c>
      <c r="I522" t="s">
        <v>36</v>
      </c>
      <c r="J522" t="str">
        <f>Table134[[#This Row],[First Name]]&amp;" "&amp;Table134[[#This Row],[Last Name]]</f>
        <v>Craig Smith</v>
      </c>
      <c r="K522" t="s">
        <v>45</v>
      </c>
      <c r="L522" s="5">
        <f>Table134[[#This Row],[Calls Reached]]/Table134[[#This Row],[Total Calls]]</f>
        <v>0.16666666666666666</v>
      </c>
      <c r="M522" s="5">
        <f>Table134[[#This Row],[Deals Closed]]/Table134[[#This Row],[Calls Reached]]</f>
        <v>0</v>
      </c>
      <c r="N522" s="6">
        <f>IFERROR(Table134[[#This Row],[Deal Value ($)]]/Table134[[#This Row],[Deals Closed]],0)</f>
        <v>0</v>
      </c>
      <c r="O522" s="6">
        <f>Table134[[#This Row],[Deal Value ($)]]/Table134[[#This Row],[Total Calls]]</f>
        <v>31.012142857142855</v>
      </c>
      <c r="P522" t="str">
        <f>IF(Table134[[#This Row],[Conversion Rate]]&gt;=20%,"High","Low")</f>
        <v>Low</v>
      </c>
    </row>
    <row r="523" spans="1:16" x14ac:dyDescent="0.25">
      <c r="A523" s="2">
        <v>45627</v>
      </c>
      <c r="B523" s="2" t="str">
        <f>TEXT(Table134[[#This Row],[Date]],"MMM")</f>
        <v>Dec</v>
      </c>
      <c r="C523">
        <v>94</v>
      </c>
      <c r="D523">
        <v>6</v>
      </c>
      <c r="E523" s="3">
        <v>537.26</v>
      </c>
      <c r="F523">
        <v>1</v>
      </c>
      <c r="G523" s="6">
        <v>3665.55</v>
      </c>
      <c r="H523" t="s">
        <v>30</v>
      </c>
      <c r="I523" t="s">
        <v>36</v>
      </c>
      <c r="J523" t="str">
        <f>Table134[[#This Row],[First Name]]&amp;" "&amp;Table134[[#This Row],[Last Name]]</f>
        <v>Emma Smith</v>
      </c>
      <c r="K523" t="s">
        <v>45</v>
      </c>
      <c r="L523" s="5">
        <f>Table134[[#This Row],[Calls Reached]]/Table134[[#This Row],[Total Calls]]</f>
        <v>6.3829787234042548E-2</v>
      </c>
      <c r="M523" s="5">
        <f>Table134[[#This Row],[Deals Closed]]/Table134[[#This Row],[Calls Reached]]</f>
        <v>0.16666666666666666</v>
      </c>
      <c r="N523" s="6">
        <f>IFERROR(Table134[[#This Row],[Deal Value ($)]]/Table134[[#This Row],[Deals Closed]],0)</f>
        <v>3665.55</v>
      </c>
      <c r="O523" s="6">
        <f>Table134[[#This Row],[Deal Value ($)]]/Table134[[#This Row],[Total Calls]]</f>
        <v>38.995212765957447</v>
      </c>
      <c r="P523" t="str">
        <f>IF(Table134[[#This Row],[Conversion Rate]]&gt;=20%,"High","Low")</f>
        <v>Low</v>
      </c>
    </row>
    <row r="524" spans="1:16" x14ac:dyDescent="0.25">
      <c r="A524" s="2">
        <v>45627</v>
      </c>
      <c r="B524" s="2" t="str">
        <f>TEXT(Table134[[#This Row],[Date]],"MMM")</f>
        <v>Dec</v>
      </c>
      <c r="C524">
        <v>21</v>
      </c>
      <c r="D524">
        <v>17</v>
      </c>
      <c r="E524" s="3">
        <v>297.83999999999997</v>
      </c>
      <c r="F524">
        <v>1</v>
      </c>
      <c r="G524" s="6">
        <v>1553.7</v>
      </c>
      <c r="H524" t="s">
        <v>29</v>
      </c>
      <c r="I524" t="s">
        <v>41</v>
      </c>
      <c r="J524" t="str">
        <f>Table134[[#This Row],[First Name]]&amp;" "&amp;Table134[[#This Row],[Last Name]]</f>
        <v>Grace Miller</v>
      </c>
      <c r="K524" t="s">
        <v>46</v>
      </c>
      <c r="L524" s="5">
        <f>Table134[[#This Row],[Calls Reached]]/Table134[[#This Row],[Total Calls]]</f>
        <v>0.80952380952380953</v>
      </c>
      <c r="M524" s="5">
        <f>Table134[[#This Row],[Deals Closed]]/Table134[[#This Row],[Calls Reached]]</f>
        <v>5.8823529411764705E-2</v>
      </c>
      <c r="N524" s="6">
        <f>IFERROR(Table134[[#This Row],[Deal Value ($)]]/Table134[[#This Row],[Deals Closed]],0)</f>
        <v>1553.7</v>
      </c>
      <c r="O524" s="6">
        <f>Table134[[#This Row],[Deal Value ($)]]/Table134[[#This Row],[Total Calls]]</f>
        <v>73.985714285714295</v>
      </c>
      <c r="P524" t="str">
        <f>IF(Table134[[#This Row],[Conversion Rate]]&gt;=20%,"High","Low")</f>
        <v>Low</v>
      </c>
    </row>
    <row r="525" spans="1:16" x14ac:dyDescent="0.25">
      <c r="A525" s="2">
        <v>45627</v>
      </c>
      <c r="B525" s="2" t="str">
        <f>TEXT(Table134[[#This Row],[Date]],"MMM")</f>
        <v>Dec</v>
      </c>
      <c r="C525">
        <v>74</v>
      </c>
      <c r="D525">
        <v>14</v>
      </c>
      <c r="E525" s="3">
        <v>508.85</v>
      </c>
      <c r="F525">
        <v>1</v>
      </c>
      <c r="G525" s="6">
        <v>1182.6300000000001</v>
      </c>
      <c r="H525" t="s">
        <v>28</v>
      </c>
      <c r="I525" t="s">
        <v>43</v>
      </c>
      <c r="J525" t="str">
        <f>Table134[[#This Row],[First Name]]&amp;" "&amp;Table134[[#This Row],[Last Name]]</f>
        <v>Vicky Williams</v>
      </c>
      <c r="K525" t="s">
        <v>46</v>
      </c>
      <c r="L525" s="5">
        <f>Table134[[#This Row],[Calls Reached]]/Table134[[#This Row],[Total Calls]]</f>
        <v>0.1891891891891892</v>
      </c>
      <c r="M525" s="5">
        <f>Table134[[#This Row],[Deals Closed]]/Table134[[#This Row],[Calls Reached]]</f>
        <v>7.1428571428571425E-2</v>
      </c>
      <c r="N525" s="6">
        <f>IFERROR(Table134[[#This Row],[Deal Value ($)]]/Table134[[#This Row],[Deals Closed]],0)</f>
        <v>1182.6300000000001</v>
      </c>
      <c r="O525" s="6">
        <f>Table134[[#This Row],[Deal Value ($)]]/Table134[[#This Row],[Total Calls]]</f>
        <v>15.981486486486489</v>
      </c>
      <c r="P525" t="str">
        <f>IF(Table134[[#This Row],[Conversion Rate]]&gt;=20%,"High","Low")</f>
        <v>Low</v>
      </c>
    </row>
    <row r="526" spans="1:16" x14ac:dyDescent="0.25">
      <c r="A526" s="2">
        <v>45627</v>
      </c>
      <c r="B526" s="2" t="str">
        <f>TEXT(Table134[[#This Row],[Date]],"MMM")</f>
        <v>Dec</v>
      </c>
      <c r="C526">
        <v>99</v>
      </c>
      <c r="D526">
        <v>15</v>
      </c>
      <c r="E526" s="3">
        <v>181.12</v>
      </c>
      <c r="F526">
        <v>5</v>
      </c>
      <c r="G526" s="6">
        <v>454.09</v>
      </c>
      <c r="H526" t="s">
        <v>27</v>
      </c>
      <c r="I526" t="s">
        <v>40</v>
      </c>
      <c r="J526" t="str">
        <f>Table134[[#This Row],[First Name]]&amp;" "&amp;Table134[[#This Row],[Last Name]]</f>
        <v>Will Davis</v>
      </c>
      <c r="K526" t="s">
        <v>46</v>
      </c>
      <c r="L526" s="5">
        <f>Table134[[#This Row],[Calls Reached]]/Table134[[#This Row],[Total Calls]]</f>
        <v>0.15151515151515152</v>
      </c>
      <c r="M526" s="5">
        <f>Table134[[#This Row],[Deals Closed]]/Table134[[#This Row],[Calls Reached]]</f>
        <v>0.33333333333333331</v>
      </c>
      <c r="N526" s="6">
        <f>IFERROR(Table134[[#This Row],[Deal Value ($)]]/Table134[[#This Row],[Deals Closed]],0)</f>
        <v>90.817999999999998</v>
      </c>
      <c r="O526" s="6">
        <f>Table134[[#This Row],[Deal Value ($)]]/Table134[[#This Row],[Total Calls]]</f>
        <v>4.5867676767676766</v>
      </c>
      <c r="P526" t="str">
        <f>IF(Table134[[#This Row],[Conversion Rate]]&gt;=20%,"High","Low")</f>
        <v>High</v>
      </c>
    </row>
    <row r="527" spans="1:16" x14ac:dyDescent="0.25">
      <c r="A527" s="2">
        <v>45627</v>
      </c>
      <c r="B527" s="2" t="str">
        <f>TEXT(Table134[[#This Row],[Date]],"MMM")</f>
        <v>Dec</v>
      </c>
      <c r="C527">
        <v>26</v>
      </c>
      <c r="D527">
        <v>13</v>
      </c>
      <c r="E527" s="3">
        <v>543.15</v>
      </c>
      <c r="F527">
        <v>6</v>
      </c>
      <c r="G527" s="6">
        <v>3793.56</v>
      </c>
      <c r="H527" t="s">
        <v>26</v>
      </c>
      <c r="I527" t="s">
        <v>43</v>
      </c>
      <c r="J527" t="str">
        <f>Table134[[#This Row],[First Name]]&amp;" "&amp;Table134[[#This Row],[Last Name]]</f>
        <v>Darren Williams</v>
      </c>
      <c r="K527" t="s">
        <v>45</v>
      </c>
      <c r="L527" s="5">
        <f>Table134[[#This Row],[Calls Reached]]/Table134[[#This Row],[Total Calls]]</f>
        <v>0.5</v>
      </c>
      <c r="M527" s="5">
        <f>Table134[[#This Row],[Deals Closed]]/Table134[[#This Row],[Calls Reached]]</f>
        <v>0.46153846153846156</v>
      </c>
      <c r="N527" s="6">
        <f>IFERROR(Table134[[#This Row],[Deal Value ($)]]/Table134[[#This Row],[Deals Closed]],0)</f>
        <v>632.26</v>
      </c>
      <c r="O527" s="6">
        <f>Table134[[#This Row],[Deal Value ($)]]/Table134[[#This Row],[Total Calls]]</f>
        <v>145.90615384615384</v>
      </c>
      <c r="P527" t="str">
        <f>IF(Table134[[#This Row],[Conversion Rate]]&gt;=20%,"High","Low")</f>
        <v>High</v>
      </c>
    </row>
    <row r="528" spans="1:16" x14ac:dyDescent="0.25">
      <c r="A528" s="2">
        <v>45627</v>
      </c>
      <c r="B528" s="2" t="str">
        <f>TEXT(Table134[[#This Row],[Date]],"MMM")</f>
        <v>Dec</v>
      </c>
      <c r="C528">
        <v>74</v>
      </c>
      <c r="D528">
        <v>6</v>
      </c>
      <c r="E528" s="3">
        <v>87.83</v>
      </c>
      <c r="F528">
        <v>6</v>
      </c>
      <c r="G528" s="6">
        <v>3741.27</v>
      </c>
      <c r="H528" t="s">
        <v>25</v>
      </c>
      <c r="I528" t="s">
        <v>35</v>
      </c>
      <c r="J528" t="str">
        <f>Table134[[#This Row],[First Name]]&amp;" "&amp;Table134[[#This Row],[Last Name]]</f>
        <v>Karol Garcia</v>
      </c>
      <c r="K528" t="s">
        <v>45</v>
      </c>
      <c r="L528" s="5">
        <f>Table134[[#This Row],[Calls Reached]]/Table134[[#This Row],[Total Calls]]</f>
        <v>8.1081081081081086E-2</v>
      </c>
      <c r="M528" s="5">
        <f>Table134[[#This Row],[Deals Closed]]/Table134[[#This Row],[Calls Reached]]</f>
        <v>1</v>
      </c>
      <c r="N528" s="6">
        <f>IFERROR(Table134[[#This Row],[Deal Value ($)]]/Table134[[#This Row],[Deals Closed]],0)</f>
        <v>623.54499999999996</v>
      </c>
      <c r="O528" s="6">
        <f>Table134[[#This Row],[Deal Value ($)]]/Table134[[#This Row],[Total Calls]]</f>
        <v>50.557702702702706</v>
      </c>
      <c r="P528" t="str">
        <f>IF(Table134[[#This Row],[Conversion Rate]]&gt;=20%,"High","Low")</f>
        <v>High</v>
      </c>
    </row>
    <row r="529" spans="1:16" x14ac:dyDescent="0.25">
      <c r="A529" s="2">
        <v>45627</v>
      </c>
      <c r="B529" s="2" t="str">
        <f>TEXT(Table134[[#This Row],[Date]],"MMM")</f>
        <v>Dec</v>
      </c>
      <c r="C529">
        <v>88</v>
      </c>
      <c r="D529">
        <v>5</v>
      </c>
      <c r="E529" s="3">
        <v>168.89</v>
      </c>
      <c r="F529">
        <v>3</v>
      </c>
      <c r="G529" s="6">
        <v>1153.93</v>
      </c>
      <c r="H529" t="s">
        <v>24</v>
      </c>
      <c r="I529" t="s">
        <v>41</v>
      </c>
      <c r="J529" t="str">
        <f>Table134[[#This Row],[First Name]]&amp;" "&amp;Table134[[#This Row],[Last Name]]</f>
        <v>Alex Miller</v>
      </c>
      <c r="K529" t="s">
        <v>46</v>
      </c>
      <c r="L529" s="5">
        <f>Table134[[#This Row],[Calls Reached]]/Table134[[#This Row],[Total Calls]]</f>
        <v>5.6818181818181816E-2</v>
      </c>
      <c r="M529" s="5">
        <f>Table134[[#This Row],[Deals Closed]]/Table134[[#This Row],[Calls Reached]]</f>
        <v>0.6</v>
      </c>
      <c r="N529" s="6">
        <f>IFERROR(Table134[[#This Row],[Deal Value ($)]]/Table134[[#This Row],[Deals Closed]],0)</f>
        <v>384.64333333333337</v>
      </c>
      <c r="O529" s="6">
        <f>Table134[[#This Row],[Deal Value ($)]]/Table134[[#This Row],[Total Calls]]</f>
        <v>13.112840909090909</v>
      </c>
      <c r="P529" t="str">
        <f>IF(Table134[[#This Row],[Conversion Rate]]&gt;=20%,"High","Low")</f>
        <v>High</v>
      </c>
    </row>
    <row r="530" spans="1:16" x14ac:dyDescent="0.25">
      <c r="A530" s="2">
        <v>45627</v>
      </c>
      <c r="B530" s="2" t="str">
        <f>TEXT(Table134[[#This Row],[Date]],"MMM")</f>
        <v>Dec</v>
      </c>
      <c r="C530">
        <v>57</v>
      </c>
      <c r="D530">
        <v>7</v>
      </c>
      <c r="E530" s="3">
        <v>190.08</v>
      </c>
      <c r="F530">
        <v>2</v>
      </c>
      <c r="G530" s="6">
        <v>649.97</v>
      </c>
      <c r="H530" t="s">
        <v>23</v>
      </c>
      <c r="I530" t="s">
        <v>35</v>
      </c>
      <c r="J530" t="str">
        <f>Table134[[#This Row],[First Name]]&amp;" "&amp;Table134[[#This Row],[Last Name]]</f>
        <v>Melissa Garcia</v>
      </c>
      <c r="K530" t="s">
        <v>45</v>
      </c>
      <c r="L530" s="5">
        <f>Table134[[#This Row],[Calls Reached]]/Table134[[#This Row],[Total Calls]]</f>
        <v>0.12280701754385964</v>
      </c>
      <c r="M530" s="5">
        <f>Table134[[#This Row],[Deals Closed]]/Table134[[#This Row],[Calls Reached]]</f>
        <v>0.2857142857142857</v>
      </c>
      <c r="N530" s="6">
        <f>IFERROR(Table134[[#This Row],[Deal Value ($)]]/Table134[[#This Row],[Deals Closed]],0)</f>
        <v>324.98500000000001</v>
      </c>
      <c r="O530" s="6">
        <f>Table134[[#This Row],[Deal Value ($)]]/Table134[[#This Row],[Total Calls]]</f>
        <v>11.402982456140352</v>
      </c>
      <c r="P530" t="str">
        <f>IF(Table134[[#This Row],[Conversion Rate]]&gt;=20%,"High","Low")</f>
        <v>High</v>
      </c>
    </row>
    <row r="531" spans="1:16" x14ac:dyDescent="0.25">
      <c r="A531" s="2">
        <v>45627</v>
      </c>
      <c r="B531" s="2" t="str">
        <f>TEXT(Table134[[#This Row],[Date]],"MMM")</f>
        <v>Dec</v>
      </c>
      <c r="C531">
        <v>31</v>
      </c>
      <c r="D531">
        <v>6</v>
      </c>
      <c r="E531" s="3">
        <v>191.66</v>
      </c>
      <c r="F531">
        <v>2</v>
      </c>
      <c r="G531" s="6">
        <v>3753.06</v>
      </c>
      <c r="H531" t="s">
        <v>22</v>
      </c>
      <c r="I531" t="s">
        <v>36</v>
      </c>
      <c r="J531" t="str">
        <f>Table134[[#This Row],[First Name]]&amp;" "&amp;Table134[[#This Row],[Last Name]]</f>
        <v>Ian Smith</v>
      </c>
      <c r="K531" t="s">
        <v>45</v>
      </c>
      <c r="L531" s="5">
        <f>Table134[[#This Row],[Calls Reached]]/Table134[[#This Row],[Total Calls]]</f>
        <v>0.19354838709677419</v>
      </c>
      <c r="M531" s="5">
        <f>Table134[[#This Row],[Deals Closed]]/Table134[[#This Row],[Calls Reached]]</f>
        <v>0.33333333333333331</v>
      </c>
      <c r="N531" s="6">
        <f>IFERROR(Table134[[#This Row],[Deal Value ($)]]/Table134[[#This Row],[Deals Closed]],0)</f>
        <v>1876.53</v>
      </c>
      <c r="O531" s="6">
        <f>Table134[[#This Row],[Deal Value ($)]]/Table134[[#This Row],[Total Calls]]</f>
        <v>121.06645161290322</v>
      </c>
      <c r="P531" t="str">
        <f>IF(Table134[[#This Row],[Conversion Rate]]&gt;=20%,"High","Low")</f>
        <v>High</v>
      </c>
    </row>
    <row r="532" spans="1:16" x14ac:dyDescent="0.25">
      <c r="A532" s="2">
        <v>45627</v>
      </c>
      <c r="B532" s="2" t="str">
        <f>TEXT(Table134[[#This Row],[Date]],"MMM")</f>
        <v>Dec</v>
      </c>
      <c r="C532">
        <v>77</v>
      </c>
      <c r="D532">
        <v>16</v>
      </c>
      <c r="E532" s="3">
        <v>539.26</v>
      </c>
      <c r="F532">
        <v>3</v>
      </c>
      <c r="G532" s="6">
        <v>379.83</v>
      </c>
      <c r="H532" t="s">
        <v>21</v>
      </c>
      <c r="I532" t="s">
        <v>39</v>
      </c>
      <c r="J532" t="str">
        <f>Table134[[#This Row],[First Name]]&amp;" "&amp;Table134[[#This Row],[Last Name]]</f>
        <v>Paul Jones</v>
      </c>
      <c r="K532" t="s">
        <v>45</v>
      </c>
      <c r="L532" s="5">
        <f>Table134[[#This Row],[Calls Reached]]/Table134[[#This Row],[Total Calls]]</f>
        <v>0.20779220779220781</v>
      </c>
      <c r="M532" s="5">
        <f>Table134[[#This Row],[Deals Closed]]/Table134[[#This Row],[Calls Reached]]</f>
        <v>0.1875</v>
      </c>
      <c r="N532" s="6">
        <f>IFERROR(Table134[[#This Row],[Deal Value ($)]]/Table134[[#This Row],[Deals Closed]],0)</f>
        <v>126.61</v>
      </c>
      <c r="O532" s="6">
        <f>Table134[[#This Row],[Deal Value ($)]]/Table134[[#This Row],[Total Calls]]</f>
        <v>4.9328571428571424</v>
      </c>
      <c r="P532" t="str">
        <f>IF(Table134[[#This Row],[Conversion Rate]]&gt;=20%,"High","Low")</f>
        <v>Low</v>
      </c>
    </row>
    <row r="533" spans="1:16" x14ac:dyDescent="0.25">
      <c r="A533" s="2">
        <v>45627</v>
      </c>
      <c r="B533" s="2" t="str">
        <f>TEXT(Table134[[#This Row],[Date]],"MMM")</f>
        <v>Dec</v>
      </c>
      <c r="C533">
        <v>83</v>
      </c>
      <c r="D533">
        <v>9</v>
      </c>
      <c r="E533" s="3">
        <v>188.49</v>
      </c>
      <c r="F533">
        <v>7</v>
      </c>
      <c r="G533" s="6">
        <v>545.09</v>
      </c>
      <c r="H533" t="s">
        <v>31</v>
      </c>
      <c r="I533" t="s">
        <v>36</v>
      </c>
      <c r="J533" t="str">
        <f>Table134[[#This Row],[First Name]]&amp;" "&amp;Table134[[#This Row],[Last Name]]</f>
        <v>Josh Smith</v>
      </c>
      <c r="K533" t="s">
        <v>45</v>
      </c>
      <c r="L533" s="5">
        <f>Table134[[#This Row],[Calls Reached]]/Table134[[#This Row],[Total Calls]]</f>
        <v>0.10843373493975904</v>
      </c>
      <c r="M533" s="5">
        <f>Table134[[#This Row],[Deals Closed]]/Table134[[#This Row],[Calls Reached]]</f>
        <v>0.77777777777777779</v>
      </c>
      <c r="N533" s="6">
        <f>IFERROR(Table134[[#This Row],[Deal Value ($)]]/Table134[[#This Row],[Deals Closed]],0)</f>
        <v>77.87</v>
      </c>
      <c r="O533" s="6">
        <f>Table134[[#This Row],[Deal Value ($)]]/Table134[[#This Row],[Total Calls]]</f>
        <v>6.5673493975903616</v>
      </c>
      <c r="P533" t="str">
        <f>IF(Table134[[#This Row],[Conversion Rate]]&gt;=20%,"High","Low")</f>
        <v>High</v>
      </c>
    </row>
    <row r="534" spans="1:16" x14ac:dyDescent="0.25">
      <c r="A534" s="2">
        <v>45627</v>
      </c>
      <c r="B534" s="2" t="str">
        <f>TEXT(Table134[[#This Row],[Date]],"MMM")</f>
        <v>Dec</v>
      </c>
      <c r="C534">
        <v>18</v>
      </c>
      <c r="D534">
        <v>6</v>
      </c>
      <c r="E534" s="3">
        <v>212.39</v>
      </c>
      <c r="F534">
        <v>3</v>
      </c>
      <c r="G534" s="6">
        <v>730.81</v>
      </c>
      <c r="H534" t="s">
        <v>19</v>
      </c>
      <c r="I534" t="s">
        <v>37</v>
      </c>
      <c r="J534" t="str">
        <f>Table134[[#This Row],[First Name]]&amp;" "&amp;Table134[[#This Row],[Last Name]]</f>
        <v>James Johnson</v>
      </c>
      <c r="K534" t="s">
        <v>46</v>
      </c>
      <c r="L534" s="5">
        <f>Table134[[#This Row],[Calls Reached]]/Table134[[#This Row],[Total Calls]]</f>
        <v>0.33333333333333331</v>
      </c>
      <c r="M534" s="5">
        <f>Table134[[#This Row],[Deals Closed]]/Table134[[#This Row],[Calls Reached]]</f>
        <v>0.5</v>
      </c>
      <c r="N534" s="6">
        <f>IFERROR(Table134[[#This Row],[Deal Value ($)]]/Table134[[#This Row],[Deals Closed]],0)</f>
        <v>243.60333333333332</v>
      </c>
      <c r="O534" s="6">
        <f>Table134[[#This Row],[Deal Value ($)]]/Table134[[#This Row],[Total Calls]]</f>
        <v>40.600555555555552</v>
      </c>
      <c r="P534" t="str">
        <f>IF(Table134[[#This Row],[Conversion Rate]]&gt;=20%,"High","Low")</f>
        <v>High</v>
      </c>
    </row>
    <row r="535" spans="1:16" x14ac:dyDescent="0.25">
      <c r="A535" s="2">
        <v>45627</v>
      </c>
      <c r="B535" s="2" t="str">
        <f>TEXT(Table134[[#This Row],[Date]],"MMM")</f>
        <v>Dec</v>
      </c>
      <c r="C535">
        <v>69</v>
      </c>
      <c r="D535">
        <v>16</v>
      </c>
      <c r="E535" s="3">
        <v>337.7</v>
      </c>
      <c r="F535">
        <v>9</v>
      </c>
      <c r="G535" s="6">
        <v>947.47</v>
      </c>
      <c r="H535" t="s">
        <v>18</v>
      </c>
      <c r="I535" t="s">
        <v>41</v>
      </c>
      <c r="J535" t="str">
        <f>Table134[[#This Row],[First Name]]&amp;" "&amp;Table134[[#This Row],[Last Name]]</f>
        <v>Chris Miller</v>
      </c>
      <c r="K535" t="s">
        <v>45</v>
      </c>
      <c r="L535" s="5">
        <f>Table134[[#This Row],[Calls Reached]]/Table134[[#This Row],[Total Calls]]</f>
        <v>0.2318840579710145</v>
      </c>
      <c r="M535" s="5">
        <f>Table134[[#This Row],[Deals Closed]]/Table134[[#This Row],[Calls Reached]]</f>
        <v>0.5625</v>
      </c>
      <c r="N535" s="6">
        <f>IFERROR(Table134[[#This Row],[Deal Value ($)]]/Table134[[#This Row],[Deals Closed]],0)</f>
        <v>105.27444444444444</v>
      </c>
      <c r="O535" s="6">
        <f>Table134[[#This Row],[Deal Value ($)]]/Table134[[#This Row],[Total Calls]]</f>
        <v>13.731449275362319</v>
      </c>
      <c r="P535" t="str">
        <f>IF(Table134[[#This Row],[Conversion Rate]]&gt;=20%,"High","Low")</f>
        <v>High</v>
      </c>
    </row>
    <row r="536" spans="1:16" x14ac:dyDescent="0.25">
      <c r="A536" s="2">
        <v>45627</v>
      </c>
      <c r="B536" s="2" t="str">
        <f>TEXT(Table134[[#This Row],[Date]],"MMM")</f>
        <v>Dec</v>
      </c>
      <c r="C536">
        <v>28</v>
      </c>
      <c r="D536">
        <v>19</v>
      </c>
      <c r="E536" s="3">
        <v>352.06</v>
      </c>
      <c r="F536">
        <v>9</v>
      </c>
      <c r="G536" s="6">
        <v>1107.51</v>
      </c>
      <c r="H536" t="s">
        <v>17</v>
      </c>
      <c r="I536" t="s">
        <v>44</v>
      </c>
      <c r="J536" t="str">
        <f>Table134[[#This Row],[First Name]]&amp;" "&amp;Table134[[#This Row],[Last Name]]</f>
        <v>Molly Brown</v>
      </c>
      <c r="K536" t="s">
        <v>45</v>
      </c>
      <c r="L536" s="5">
        <f>Table134[[#This Row],[Calls Reached]]/Table134[[#This Row],[Total Calls]]</f>
        <v>0.6785714285714286</v>
      </c>
      <c r="M536" s="5">
        <f>Table134[[#This Row],[Deals Closed]]/Table134[[#This Row],[Calls Reached]]</f>
        <v>0.47368421052631576</v>
      </c>
      <c r="N536" s="6">
        <f>IFERROR(Table134[[#This Row],[Deal Value ($)]]/Table134[[#This Row],[Deals Closed]],0)</f>
        <v>123.05666666666667</v>
      </c>
      <c r="O536" s="6">
        <f>Table134[[#This Row],[Deal Value ($)]]/Table134[[#This Row],[Total Calls]]</f>
        <v>39.553928571428571</v>
      </c>
      <c r="P536" t="str">
        <f>IF(Table134[[#This Row],[Conversion Rate]]&gt;=20%,"High","Low")</f>
        <v>High</v>
      </c>
    </row>
    <row r="537" spans="1:16" x14ac:dyDescent="0.25">
      <c r="A537" s="2">
        <v>45627</v>
      </c>
      <c r="B537" s="2" t="str">
        <f>TEXT(Table134[[#This Row],[Date]],"MMM")</f>
        <v>Dec</v>
      </c>
      <c r="C537">
        <v>50</v>
      </c>
      <c r="D537">
        <v>6</v>
      </c>
      <c r="E537" s="3">
        <v>219.19</v>
      </c>
      <c r="F537">
        <v>4</v>
      </c>
      <c r="G537" s="6">
        <v>3836.95</v>
      </c>
      <c r="H537" t="s">
        <v>16</v>
      </c>
      <c r="I537" t="s">
        <v>42</v>
      </c>
      <c r="J537" t="str">
        <f>Table134[[#This Row],[First Name]]&amp;" "&amp;Table134[[#This Row],[Last Name]]</f>
        <v>Charlie Martinez</v>
      </c>
      <c r="K537" t="s">
        <v>45</v>
      </c>
      <c r="L537" s="5">
        <f>Table134[[#This Row],[Calls Reached]]/Table134[[#This Row],[Total Calls]]</f>
        <v>0.12</v>
      </c>
      <c r="M537" s="5">
        <f>Table134[[#This Row],[Deals Closed]]/Table134[[#This Row],[Calls Reached]]</f>
        <v>0.66666666666666663</v>
      </c>
      <c r="N537" s="6">
        <f>IFERROR(Table134[[#This Row],[Deal Value ($)]]/Table134[[#This Row],[Deals Closed]],0)</f>
        <v>959.23749999999995</v>
      </c>
      <c r="O537" s="6">
        <f>Table134[[#This Row],[Deal Value ($)]]/Table134[[#This Row],[Total Calls]]</f>
        <v>76.73899999999999</v>
      </c>
      <c r="P537" t="str">
        <f>IF(Table134[[#This Row],[Conversion Rate]]&gt;=20%,"High","Low")</f>
        <v>High</v>
      </c>
    </row>
    <row r="538" spans="1:16" x14ac:dyDescent="0.25">
      <c r="A538" s="2">
        <v>45627</v>
      </c>
      <c r="B538" s="2" t="str">
        <f>TEXT(Table134[[#This Row],[Date]],"MMM")</f>
        <v>Dec</v>
      </c>
      <c r="C538">
        <v>84</v>
      </c>
      <c r="D538">
        <v>19</v>
      </c>
      <c r="E538" s="3">
        <v>301.2</v>
      </c>
      <c r="F538">
        <v>2</v>
      </c>
      <c r="G538" s="6">
        <v>2608.4699999999998</v>
      </c>
      <c r="H538" t="s">
        <v>15</v>
      </c>
      <c r="I538" t="s">
        <v>42</v>
      </c>
      <c r="J538" t="str">
        <f>Table134[[#This Row],[First Name]]&amp;" "&amp;Table134[[#This Row],[Last Name]]</f>
        <v>Rick Martinez</v>
      </c>
      <c r="K538" t="s">
        <v>45</v>
      </c>
      <c r="L538" s="5">
        <f>Table134[[#This Row],[Calls Reached]]/Table134[[#This Row],[Total Calls]]</f>
        <v>0.22619047619047619</v>
      </c>
      <c r="M538" s="5">
        <f>Table134[[#This Row],[Deals Closed]]/Table134[[#This Row],[Calls Reached]]</f>
        <v>0.10526315789473684</v>
      </c>
      <c r="N538" s="6">
        <f>IFERROR(Table134[[#This Row],[Deal Value ($)]]/Table134[[#This Row],[Deals Closed]],0)</f>
        <v>1304.2349999999999</v>
      </c>
      <c r="O538" s="6">
        <f>Table134[[#This Row],[Deal Value ($)]]/Table134[[#This Row],[Total Calls]]</f>
        <v>31.053214285714283</v>
      </c>
      <c r="P538" t="str">
        <f>IF(Table134[[#This Row],[Conversion Rate]]&gt;=20%,"High","Low")</f>
        <v>Low</v>
      </c>
    </row>
    <row r="539" spans="1:16" x14ac:dyDescent="0.25">
      <c r="A539" s="2">
        <v>45627</v>
      </c>
      <c r="B539" s="2" t="str">
        <f>TEXT(Table134[[#This Row],[Date]],"MMM")</f>
        <v>Dec</v>
      </c>
      <c r="C539">
        <v>70</v>
      </c>
      <c r="D539">
        <v>6</v>
      </c>
      <c r="E539" s="3">
        <v>488.97</v>
      </c>
      <c r="F539">
        <v>3</v>
      </c>
      <c r="G539" s="6">
        <v>3767.09</v>
      </c>
      <c r="H539" t="s">
        <v>14</v>
      </c>
      <c r="I539" t="s">
        <v>39</v>
      </c>
      <c r="J539" t="str">
        <f>Table134[[#This Row],[First Name]]&amp;" "&amp;Table134[[#This Row],[Last Name]]</f>
        <v>Bob Jones</v>
      </c>
      <c r="K539" t="s">
        <v>46</v>
      </c>
      <c r="L539" s="5">
        <f>Table134[[#This Row],[Calls Reached]]/Table134[[#This Row],[Total Calls]]</f>
        <v>8.5714285714285715E-2</v>
      </c>
      <c r="M539" s="5">
        <f>Table134[[#This Row],[Deals Closed]]/Table134[[#This Row],[Calls Reached]]</f>
        <v>0.5</v>
      </c>
      <c r="N539" s="6">
        <f>IFERROR(Table134[[#This Row],[Deal Value ($)]]/Table134[[#This Row],[Deals Closed]],0)</f>
        <v>1255.6966666666667</v>
      </c>
      <c r="O539" s="6">
        <f>Table134[[#This Row],[Deal Value ($)]]/Table134[[#This Row],[Total Calls]]</f>
        <v>53.815571428571431</v>
      </c>
      <c r="P539" t="str">
        <f>IF(Table134[[#This Row],[Conversion Rate]]&gt;=20%,"High","Low")</f>
        <v>High</v>
      </c>
    </row>
    <row r="540" spans="1:16" x14ac:dyDescent="0.25">
      <c r="A540" s="2">
        <v>45627</v>
      </c>
      <c r="B540" s="2" t="str">
        <f>TEXT(Table134[[#This Row],[Date]],"MMM")</f>
        <v>Dec</v>
      </c>
      <c r="C540">
        <v>101</v>
      </c>
      <c r="D540">
        <v>14</v>
      </c>
      <c r="E540" s="3">
        <v>503.93</v>
      </c>
      <c r="F540">
        <v>5</v>
      </c>
      <c r="G540" s="6">
        <v>1116.6099999999999</v>
      </c>
      <c r="H540" t="s">
        <v>13</v>
      </c>
      <c r="I540" t="s">
        <v>43</v>
      </c>
      <c r="J540" t="str">
        <f>Table134[[#This Row],[First Name]]&amp;" "&amp;Table134[[#This Row],[Last Name]]</f>
        <v>Liam Williams</v>
      </c>
      <c r="K540" t="s">
        <v>46</v>
      </c>
      <c r="L540" s="5">
        <f>Table134[[#This Row],[Calls Reached]]/Table134[[#This Row],[Total Calls]]</f>
        <v>0.13861386138613863</v>
      </c>
      <c r="M540" s="5">
        <f>Table134[[#This Row],[Deals Closed]]/Table134[[#This Row],[Calls Reached]]</f>
        <v>0.35714285714285715</v>
      </c>
      <c r="N540" s="6">
        <f>IFERROR(Table134[[#This Row],[Deal Value ($)]]/Table134[[#This Row],[Deals Closed]],0)</f>
        <v>223.32199999999997</v>
      </c>
      <c r="O540" s="6">
        <f>Table134[[#This Row],[Deal Value ($)]]/Table134[[#This Row],[Total Calls]]</f>
        <v>11.055544554455444</v>
      </c>
      <c r="P540" t="str">
        <f>IF(Table134[[#This Row],[Conversion Rate]]&gt;=20%,"High","Low")</f>
        <v>High</v>
      </c>
    </row>
    <row r="541" spans="1:16" x14ac:dyDescent="0.25">
      <c r="A541" s="2">
        <v>45627</v>
      </c>
      <c r="B541" s="2" t="str">
        <f>TEXT(Table134[[#This Row],[Date]],"MMM")</f>
        <v>Dec</v>
      </c>
      <c r="C541">
        <v>20</v>
      </c>
      <c r="D541">
        <v>5</v>
      </c>
      <c r="E541" s="3">
        <v>71.41</v>
      </c>
      <c r="F541">
        <v>3</v>
      </c>
      <c r="G541" s="6">
        <v>1527.27</v>
      </c>
      <c r="H541" t="s">
        <v>12</v>
      </c>
      <c r="I541" t="s">
        <v>40</v>
      </c>
      <c r="J541" t="str">
        <f>Table134[[#This Row],[First Name]]&amp;" "&amp;Table134[[#This Row],[Last Name]]</f>
        <v>Jake Davis</v>
      </c>
      <c r="K541" t="s">
        <v>45</v>
      </c>
      <c r="L541" s="5">
        <f>Table134[[#This Row],[Calls Reached]]/Table134[[#This Row],[Total Calls]]</f>
        <v>0.25</v>
      </c>
      <c r="M541" s="5">
        <f>Table134[[#This Row],[Deals Closed]]/Table134[[#This Row],[Calls Reached]]</f>
        <v>0.6</v>
      </c>
      <c r="N541" s="6">
        <f>IFERROR(Table134[[#This Row],[Deal Value ($)]]/Table134[[#This Row],[Deals Closed]],0)</f>
        <v>509.09</v>
      </c>
      <c r="O541" s="6">
        <f>Table134[[#This Row],[Deal Value ($)]]/Table134[[#This Row],[Total Calls]]</f>
        <v>76.363500000000002</v>
      </c>
      <c r="P541" t="str">
        <f>IF(Table134[[#This Row],[Conversion Rate]]&gt;=20%,"High","Low")</f>
        <v>High</v>
      </c>
    </row>
    <row r="542" spans="1:16" x14ac:dyDescent="0.25">
      <c r="A542" s="2">
        <v>45627</v>
      </c>
      <c r="B542" s="2" t="str">
        <f>TEXT(Table134[[#This Row],[Date]],"MMM")</f>
        <v>Dec</v>
      </c>
      <c r="C542">
        <v>51</v>
      </c>
      <c r="D542">
        <v>14</v>
      </c>
      <c r="E542" s="3">
        <v>419.93</v>
      </c>
      <c r="F542">
        <v>2</v>
      </c>
      <c r="G542" s="6">
        <v>3543.6</v>
      </c>
      <c r="H542" t="s">
        <v>11</v>
      </c>
      <c r="I542" t="s">
        <v>39</v>
      </c>
      <c r="J542" t="str">
        <f>Table134[[#This Row],[First Name]]&amp;" "&amp;Table134[[#This Row],[Last Name]]</f>
        <v>Diana Jones</v>
      </c>
      <c r="K542" t="s">
        <v>46</v>
      </c>
      <c r="L542" s="5">
        <f>Table134[[#This Row],[Calls Reached]]/Table134[[#This Row],[Total Calls]]</f>
        <v>0.27450980392156865</v>
      </c>
      <c r="M542" s="5">
        <f>Table134[[#This Row],[Deals Closed]]/Table134[[#This Row],[Calls Reached]]</f>
        <v>0.14285714285714285</v>
      </c>
      <c r="N542" s="6">
        <f>IFERROR(Table134[[#This Row],[Deal Value ($)]]/Table134[[#This Row],[Deals Closed]],0)</f>
        <v>1771.8</v>
      </c>
      <c r="O542" s="6">
        <f>Table134[[#This Row],[Deal Value ($)]]/Table134[[#This Row],[Total Calls]]</f>
        <v>69.482352941176472</v>
      </c>
      <c r="P542" t="str">
        <f>IF(Table134[[#This Row],[Conversion Rate]]&gt;=20%,"High","Low")</f>
        <v>Low</v>
      </c>
    </row>
    <row r="543" spans="1:16" x14ac:dyDescent="0.25">
      <c r="A543" s="2">
        <v>45627</v>
      </c>
      <c r="B543" s="2" t="str">
        <f>TEXT(Table134[[#This Row],[Date]],"MMM")</f>
        <v>Dec</v>
      </c>
      <c r="C543">
        <v>40</v>
      </c>
      <c r="D543">
        <v>7</v>
      </c>
      <c r="E543" s="3">
        <v>486.93</v>
      </c>
      <c r="F543">
        <v>7</v>
      </c>
      <c r="G543" s="6">
        <v>3643.63</v>
      </c>
      <c r="H543" t="s">
        <v>20</v>
      </c>
      <c r="I543" t="s">
        <v>44</v>
      </c>
      <c r="J543" t="str">
        <f>Table134[[#This Row],[First Name]]&amp;" "&amp;Table134[[#This Row],[Last Name]]</f>
        <v>Richard Brown</v>
      </c>
      <c r="K543" t="s">
        <v>45</v>
      </c>
      <c r="L543" s="5">
        <f>Table134[[#This Row],[Calls Reached]]/Table134[[#This Row],[Total Calls]]</f>
        <v>0.17499999999999999</v>
      </c>
      <c r="M543" s="5">
        <f>Table134[[#This Row],[Deals Closed]]/Table134[[#This Row],[Calls Reached]]</f>
        <v>1</v>
      </c>
      <c r="N543" s="6">
        <f>IFERROR(Table134[[#This Row],[Deal Value ($)]]/Table134[[#This Row],[Deals Closed]],0)</f>
        <v>520.51857142857148</v>
      </c>
      <c r="O543" s="6">
        <f>Table134[[#This Row],[Deal Value ($)]]/Table134[[#This Row],[Total Calls]]</f>
        <v>91.09075</v>
      </c>
      <c r="P543" t="str">
        <f>IF(Table134[[#This Row],[Conversion Rate]]&gt;=20%,"High","Low")</f>
        <v>High</v>
      </c>
    </row>
    <row r="544" spans="1:16" x14ac:dyDescent="0.25">
      <c r="A544" s="2">
        <v>45627</v>
      </c>
      <c r="B544" s="2" t="str">
        <f>TEXT(Table134[[#This Row],[Date]],"MMM")</f>
        <v>Dec</v>
      </c>
      <c r="C544">
        <v>80</v>
      </c>
      <c r="D544">
        <v>13</v>
      </c>
      <c r="E544" s="3">
        <v>369.46</v>
      </c>
      <c r="F544">
        <v>4</v>
      </c>
      <c r="G544" s="6">
        <v>3996.04</v>
      </c>
      <c r="H544" t="s">
        <v>10</v>
      </c>
      <c r="I544" t="s">
        <v>35</v>
      </c>
      <c r="J544" t="str">
        <f>Table134[[#This Row],[First Name]]&amp;" "&amp;Table134[[#This Row],[Last Name]]</f>
        <v>Alice Garcia</v>
      </c>
      <c r="K544" t="s">
        <v>45</v>
      </c>
      <c r="L544" s="5">
        <f>Table134[[#This Row],[Calls Reached]]/Table134[[#This Row],[Total Calls]]</f>
        <v>0.16250000000000001</v>
      </c>
      <c r="M544" s="5">
        <f>Table134[[#This Row],[Deals Closed]]/Table134[[#This Row],[Calls Reached]]</f>
        <v>0.30769230769230771</v>
      </c>
      <c r="N544" s="6">
        <f>IFERROR(Table134[[#This Row],[Deal Value ($)]]/Table134[[#This Row],[Deals Closed]],0)</f>
        <v>999.01</v>
      </c>
      <c r="O544" s="6">
        <f>Table134[[#This Row],[Deal Value ($)]]/Table134[[#This Row],[Total Calls]]</f>
        <v>49.950499999999998</v>
      </c>
      <c r="P544" t="str">
        <f>IF(Table134[[#This Row],[Conversion Rate]]&gt;=20%,"High","Low")</f>
        <v>High</v>
      </c>
    </row>
    <row r="545" spans="1:16" x14ac:dyDescent="0.25">
      <c r="A545" s="2">
        <v>45628</v>
      </c>
      <c r="B545" s="2" t="str">
        <f>TEXT(Table134[[#This Row],[Date]],"MMM")</f>
        <v>Dec</v>
      </c>
      <c r="C545">
        <v>53</v>
      </c>
      <c r="D545">
        <v>35</v>
      </c>
      <c r="E545" s="3">
        <v>456.67479294227621</v>
      </c>
      <c r="F545">
        <v>26</v>
      </c>
      <c r="G545" s="6">
        <v>4774.8253277760141</v>
      </c>
      <c r="H545" t="s">
        <v>12</v>
      </c>
      <c r="I545" t="s">
        <v>38</v>
      </c>
      <c r="J545" t="str">
        <f>Table134[[#This Row],[First Name]]&amp;" "&amp;Table134[[#This Row],[Last Name]]</f>
        <v>Jake Rodriguez</v>
      </c>
      <c r="K545" t="s">
        <v>45</v>
      </c>
      <c r="L545" s="5">
        <f>Table134[[#This Row],[Calls Reached]]/Table134[[#This Row],[Total Calls]]</f>
        <v>0.660377358490566</v>
      </c>
      <c r="M545" s="5">
        <f>Table134[[#This Row],[Deals Closed]]/Table134[[#This Row],[Calls Reached]]</f>
        <v>0.74285714285714288</v>
      </c>
      <c r="N545" s="6">
        <f>IFERROR(Table134[[#This Row],[Deal Value ($)]]/Table134[[#This Row],[Deals Closed]],0)</f>
        <v>183.64712799138516</v>
      </c>
      <c r="O545" s="6">
        <f>Table134[[#This Row],[Deal Value ($)]]/Table134[[#This Row],[Total Calls]]</f>
        <v>90.091043920302155</v>
      </c>
      <c r="P545" t="str">
        <f>IF(Table134[[#This Row],[Conversion Rate]]&gt;=20%,"High","Low")</f>
        <v>High</v>
      </c>
    </row>
    <row r="546" spans="1:16" x14ac:dyDescent="0.25">
      <c r="A546" s="2">
        <v>45629</v>
      </c>
      <c r="B546" s="2" t="str">
        <f>TEXT(Table134[[#This Row],[Date]],"MMM")</f>
        <v>Dec</v>
      </c>
      <c r="C546">
        <v>60</v>
      </c>
      <c r="D546">
        <v>43</v>
      </c>
      <c r="E546" s="3">
        <v>547.60341884359968</v>
      </c>
      <c r="F546">
        <v>33</v>
      </c>
      <c r="G546" s="6">
        <v>4038.5525648699841</v>
      </c>
      <c r="H546" t="s">
        <v>34</v>
      </c>
      <c r="I546" t="s">
        <v>37</v>
      </c>
      <c r="J546" t="str">
        <f>Table134[[#This Row],[First Name]]&amp;" "&amp;Table134[[#This Row],[Last Name]]</f>
        <v>Mimi Johnson</v>
      </c>
      <c r="K546" t="s">
        <v>45</v>
      </c>
      <c r="L546" s="5">
        <f>Table134[[#This Row],[Calls Reached]]/Table134[[#This Row],[Total Calls]]</f>
        <v>0.71666666666666667</v>
      </c>
      <c r="M546" s="5">
        <f>Table134[[#This Row],[Deals Closed]]/Table134[[#This Row],[Calls Reached]]</f>
        <v>0.76744186046511631</v>
      </c>
      <c r="N546" s="6">
        <f>IFERROR(Table134[[#This Row],[Deal Value ($)]]/Table134[[#This Row],[Deals Closed]],0)</f>
        <v>122.38038075363588</v>
      </c>
      <c r="O546" s="6">
        <f>Table134[[#This Row],[Deal Value ($)]]/Table134[[#This Row],[Total Calls]]</f>
        <v>67.309209414499733</v>
      </c>
      <c r="P546" t="str">
        <f>IF(Table134[[#This Row],[Conversion Rate]]&gt;=20%,"High","Low")</f>
        <v>High</v>
      </c>
    </row>
    <row r="547" spans="1:16" x14ac:dyDescent="0.25">
      <c r="A547" s="2">
        <v>45630</v>
      </c>
      <c r="B547" s="2" t="str">
        <f>TEXT(Table134[[#This Row],[Date]],"MMM")</f>
        <v>Dec</v>
      </c>
      <c r="C547">
        <v>66</v>
      </c>
      <c r="D547">
        <v>16</v>
      </c>
      <c r="E547" s="3">
        <v>355.83872105783303</v>
      </c>
      <c r="F547">
        <v>26</v>
      </c>
      <c r="G547" s="6">
        <v>902.34951040516785</v>
      </c>
      <c r="H547" t="s">
        <v>48</v>
      </c>
      <c r="I547" t="s">
        <v>35</v>
      </c>
      <c r="J547" t="str">
        <f>Table134[[#This Row],[First Name]]&amp;" "&amp;Table134[[#This Row],[Last Name]]</f>
        <v>Anna Garcia</v>
      </c>
      <c r="K547" t="s">
        <v>45</v>
      </c>
      <c r="L547" s="5">
        <f>Table134[[#This Row],[Calls Reached]]/Table134[[#This Row],[Total Calls]]</f>
        <v>0.24242424242424243</v>
      </c>
      <c r="M547" s="5">
        <f>Table134[[#This Row],[Deals Closed]]/Table134[[#This Row],[Calls Reached]]</f>
        <v>1.625</v>
      </c>
      <c r="N547" s="6">
        <f>IFERROR(Table134[[#This Row],[Deal Value ($)]]/Table134[[#This Row],[Deals Closed]],0)</f>
        <v>34.705750400198767</v>
      </c>
      <c r="O547" s="6">
        <f>Table134[[#This Row],[Deal Value ($)]]/Table134[[#This Row],[Total Calls]]</f>
        <v>13.671962278866179</v>
      </c>
      <c r="P547" t="str">
        <f>IF(Table134[[#This Row],[Conversion Rate]]&gt;=20%,"High","Low")</f>
        <v>High</v>
      </c>
    </row>
    <row r="548" spans="1:16" x14ac:dyDescent="0.25">
      <c r="A548" s="2">
        <v>45631</v>
      </c>
      <c r="B548" s="2" t="str">
        <f>TEXT(Table134[[#This Row],[Date]],"MMM")</f>
        <v>Dec</v>
      </c>
      <c r="C548">
        <v>87</v>
      </c>
      <c r="D548">
        <v>77</v>
      </c>
      <c r="E548" s="3">
        <v>366.0567426326578</v>
      </c>
      <c r="F548">
        <v>16</v>
      </c>
      <c r="G548" s="6">
        <v>2379.113491032178</v>
      </c>
      <c r="H548" t="s">
        <v>34</v>
      </c>
      <c r="I548" t="s">
        <v>40</v>
      </c>
      <c r="J548" t="str">
        <f>Table134[[#This Row],[First Name]]&amp;" "&amp;Table134[[#This Row],[Last Name]]</f>
        <v>Mimi Davis</v>
      </c>
      <c r="K548" t="s">
        <v>45</v>
      </c>
      <c r="L548" s="5">
        <f>Table134[[#This Row],[Calls Reached]]/Table134[[#This Row],[Total Calls]]</f>
        <v>0.88505747126436785</v>
      </c>
      <c r="M548" s="5">
        <f>Table134[[#This Row],[Deals Closed]]/Table134[[#This Row],[Calls Reached]]</f>
        <v>0.20779220779220781</v>
      </c>
      <c r="N548" s="6">
        <f>IFERROR(Table134[[#This Row],[Deal Value ($)]]/Table134[[#This Row],[Deals Closed]],0)</f>
        <v>148.69459318951112</v>
      </c>
      <c r="O548" s="6">
        <f>Table134[[#This Row],[Deal Value ($)]]/Table134[[#This Row],[Total Calls]]</f>
        <v>27.346132080829634</v>
      </c>
      <c r="P548" t="str">
        <f>IF(Table134[[#This Row],[Conversion Rate]]&gt;=20%,"High","Low")</f>
        <v>High</v>
      </c>
    </row>
    <row r="549" spans="1:16" x14ac:dyDescent="0.25">
      <c r="A549" s="2">
        <v>45632</v>
      </c>
      <c r="B549" s="2" t="str">
        <f>TEXT(Table134[[#This Row],[Date]],"MMM")</f>
        <v>Dec</v>
      </c>
      <c r="C549">
        <v>73</v>
      </c>
      <c r="D549">
        <v>67</v>
      </c>
      <c r="E549" s="3">
        <v>153.58600566988801</v>
      </c>
      <c r="F549">
        <v>23</v>
      </c>
      <c r="G549" s="6">
        <v>4456.0323840297406</v>
      </c>
      <c r="H549" t="s">
        <v>18</v>
      </c>
      <c r="I549" t="s">
        <v>44</v>
      </c>
      <c r="J549" t="str">
        <f>Table134[[#This Row],[First Name]]&amp;" "&amp;Table134[[#This Row],[Last Name]]</f>
        <v>Chris Brown</v>
      </c>
      <c r="K549" t="s">
        <v>45</v>
      </c>
      <c r="L549" s="5">
        <f>Table134[[#This Row],[Calls Reached]]/Table134[[#This Row],[Total Calls]]</f>
        <v>0.9178082191780822</v>
      </c>
      <c r="M549" s="5">
        <f>Table134[[#This Row],[Deals Closed]]/Table134[[#This Row],[Calls Reached]]</f>
        <v>0.34328358208955223</v>
      </c>
      <c r="N549" s="6">
        <f>IFERROR(Table134[[#This Row],[Deal Value ($)]]/Table134[[#This Row],[Deals Closed]],0)</f>
        <v>193.74053843607567</v>
      </c>
      <c r="O549" s="6">
        <f>Table134[[#This Row],[Deal Value ($)]]/Table134[[#This Row],[Total Calls]]</f>
        <v>61.041539507256722</v>
      </c>
      <c r="P549" t="str">
        <f>IF(Table134[[#This Row],[Conversion Rate]]&gt;=20%,"High","Low")</f>
        <v>High</v>
      </c>
    </row>
    <row r="550" spans="1:16" x14ac:dyDescent="0.25">
      <c r="A550" s="2">
        <v>45635</v>
      </c>
      <c r="B550" s="2" t="str">
        <f>TEXT(Table134[[#This Row],[Date]],"MMM")</f>
        <v>Dec</v>
      </c>
      <c r="C550">
        <v>54</v>
      </c>
      <c r="D550">
        <v>38</v>
      </c>
      <c r="E550" s="3">
        <v>323.70618341172741</v>
      </c>
      <c r="F550">
        <v>24</v>
      </c>
      <c r="G550" s="6">
        <v>4751.2941003113456</v>
      </c>
      <c r="H550" t="s">
        <v>18</v>
      </c>
      <c r="I550" t="s">
        <v>35</v>
      </c>
      <c r="J550" t="str">
        <f>Table134[[#This Row],[First Name]]&amp;" "&amp;Table134[[#This Row],[Last Name]]</f>
        <v>Chris Garcia</v>
      </c>
      <c r="K550" t="s">
        <v>46</v>
      </c>
      <c r="L550" s="5">
        <f>Table134[[#This Row],[Calls Reached]]/Table134[[#This Row],[Total Calls]]</f>
        <v>0.70370370370370372</v>
      </c>
      <c r="M550" s="5">
        <f>Table134[[#This Row],[Deals Closed]]/Table134[[#This Row],[Calls Reached]]</f>
        <v>0.63157894736842102</v>
      </c>
      <c r="N550" s="6">
        <f>IFERROR(Table134[[#This Row],[Deal Value ($)]]/Table134[[#This Row],[Deals Closed]],0)</f>
        <v>197.97058751297274</v>
      </c>
      <c r="O550" s="6">
        <f>Table134[[#This Row],[Deal Value ($)]]/Table134[[#This Row],[Total Calls]]</f>
        <v>87.986927783543436</v>
      </c>
      <c r="P550" t="str">
        <f>IF(Table134[[#This Row],[Conversion Rate]]&gt;=20%,"High","Low")</f>
        <v>High</v>
      </c>
    </row>
    <row r="551" spans="1:16" x14ac:dyDescent="0.25">
      <c r="A551" s="2">
        <v>45636</v>
      </c>
      <c r="B551" s="2" t="str">
        <f>TEXT(Table134[[#This Row],[Date]],"MMM")</f>
        <v>Dec</v>
      </c>
      <c r="C551">
        <v>83</v>
      </c>
      <c r="D551">
        <v>45</v>
      </c>
      <c r="E551" s="3">
        <v>366.30863322751162</v>
      </c>
      <c r="F551">
        <v>6</v>
      </c>
      <c r="G551" s="6">
        <v>2603.3068006244139</v>
      </c>
      <c r="H551" t="s">
        <v>18</v>
      </c>
      <c r="I551" t="s">
        <v>44</v>
      </c>
      <c r="J551" t="str">
        <f>Table134[[#This Row],[First Name]]&amp;" "&amp;Table134[[#This Row],[Last Name]]</f>
        <v>Chris Brown</v>
      </c>
      <c r="K551" t="s">
        <v>46</v>
      </c>
      <c r="L551" s="5">
        <f>Table134[[#This Row],[Calls Reached]]/Table134[[#This Row],[Total Calls]]</f>
        <v>0.54216867469879515</v>
      </c>
      <c r="M551" s="5">
        <f>Table134[[#This Row],[Deals Closed]]/Table134[[#This Row],[Calls Reached]]</f>
        <v>0.13333333333333333</v>
      </c>
      <c r="N551" s="6">
        <f>IFERROR(Table134[[#This Row],[Deal Value ($)]]/Table134[[#This Row],[Deals Closed]],0)</f>
        <v>433.88446677073563</v>
      </c>
      <c r="O551" s="6">
        <f>Table134[[#This Row],[Deal Value ($)]]/Table134[[#This Row],[Total Calls]]</f>
        <v>31.365142176197757</v>
      </c>
      <c r="P551" t="str">
        <f>IF(Table134[[#This Row],[Conversion Rate]]&gt;=20%,"High","Low")</f>
        <v>Low</v>
      </c>
    </row>
    <row r="552" spans="1:16" x14ac:dyDescent="0.25">
      <c r="A552" s="2">
        <v>45637</v>
      </c>
      <c r="B552" s="2" t="str">
        <f>TEXT(Table134[[#This Row],[Date]],"MMM")</f>
        <v>Dec</v>
      </c>
      <c r="C552">
        <v>55</v>
      </c>
      <c r="D552">
        <v>30</v>
      </c>
      <c r="E552" s="3">
        <v>221.2352518173648</v>
      </c>
      <c r="F552">
        <v>5</v>
      </c>
      <c r="G552" s="6">
        <v>3260.351251448184</v>
      </c>
      <c r="H552" t="s">
        <v>47</v>
      </c>
      <c r="I552" t="s">
        <v>44</v>
      </c>
      <c r="J552" t="str">
        <f>Table134[[#This Row],[First Name]]&amp;" "&amp;Table134[[#This Row],[Last Name]]</f>
        <v>John Brown</v>
      </c>
      <c r="K552" t="s">
        <v>45</v>
      </c>
      <c r="L552" s="5">
        <f>Table134[[#This Row],[Calls Reached]]/Table134[[#This Row],[Total Calls]]</f>
        <v>0.54545454545454541</v>
      </c>
      <c r="M552" s="5">
        <f>Table134[[#This Row],[Deals Closed]]/Table134[[#This Row],[Calls Reached]]</f>
        <v>0.16666666666666666</v>
      </c>
      <c r="N552" s="6">
        <f>IFERROR(Table134[[#This Row],[Deal Value ($)]]/Table134[[#This Row],[Deals Closed]],0)</f>
        <v>652.07025028963676</v>
      </c>
      <c r="O552" s="6">
        <f>Table134[[#This Row],[Deal Value ($)]]/Table134[[#This Row],[Total Calls]]</f>
        <v>59.279113662694257</v>
      </c>
      <c r="P552" t="str">
        <f>IF(Table134[[#This Row],[Conversion Rate]]&gt;=20%,"High","Low")</f>
        <v>Low</v>
      </c>
    </row>
    <row r="553" spans="1:16" x14ac:dyDescent="0.25">
      <c r="A553" s="2">
        <v>45638</v>
      </c>
      <c r="B553" s="2" t="str">
        <f>TEXT(Table134[[#This Row],[Date]],"MMM")</f>
        <v>Dec</v>
      </c>
      <c r="C553">
        <v>71</v>
      </c>
      <c r="D553">
        <v>45</v>
      </c>
      <c r="E553" s="3">
        <v>234.62161547469049</v>
      </c>
      <c r="F553">
        <v>23</v>
      </c>
      <c r="G553" s="6">
        <v>1251.652757414339</v>
      </c>
      <c r="H553" t="s">
        <v>34</v>
      </c>
      <c r="I553" t="s">
        <v>44</v>
      </c>
      <c r="J553" t="str">
        <f>Table134[[#This Row],[First Name]]&amp;" "&amp;Table134[[#This Row],[Last Name]]</f>
        <v>Mimi Brown</v>
      </c>
      <c r="K553" t="s">
        <v>46</v>
      </c>
      <c r="L553" s="5">
        <f>Table134[[#This Row],[Calls Reached]]/Table134[[#This Row],[Total Calls]]</f>
        <v>0.63380281690140849</v>
      </c>
      <c r="M553" s="5">
        <f>Table134[[#This Row],[Deals Closed]]/Table134[[#This Row],[Calls Reached]]</f>
        <v>0.51111111111111107</v>
      </c>
      <c r="N553" s="6">
        <f>IFERROR(Table134[[#This Row],[Deal Value ($)]]/Table134[[#This Row],[Deals Closed]],0)</f>
        <v>54.419685104971265</v>
      </c>
      <c r="O553" s="6">
        <f>Table134[[#This Row],[Deal Value ($)]]/Table134[[#This Row],[Total Calls]]</f>
        <v>17.628912076258295</v>
      </c>
      <c r="P553" t="str">
        <f>IF(Table134[[#This Row],[Conversion Rate]]&gt;=20%,"High","Low")</f>
        <v>High</v>
      </c>
    </row>
    <row r="554" spans="1:16" x14ac:dyDescent="0.25">
      <c r="A554" s="2">
        <v>45639</v>
      </c>
      <c r="B554" s="2" t="str">
        <f>TEXT(Table134[[#This Row],[Date]],"MMM")</f>
        <v>Dec</v>
      </c>
      <c r="C554">
        <v>60</v>
      </c>
      <c r="D554">
        <v>19</v>
      </c>
      <c r="E554" s="3">
        <v>288.64208155231131</v>
      </c>
      <c r="F554">
        <v>32</v>
      </c>
      <c r="G554" s="6">
        <v>4960.2588176163936</v>
      </c>
      <c r="H554" t="s">
        <v>48</v>
      </c>
      <c r="I554" t="s">
        <v>42</v>
      </c>
      <c r="J554" t="str">
        <f>Table134[[#This Row],[First Name]]&amp;" "&amp;Table134[[#This Row],[Last Name]]</f>
        <v>Anna Martinez</v>
      </c>
      <c r="K554" t="s">
        <v>46</v>
      </c>
      <c r="L554" s="5">
        <f>Table134[[#This Row],[Calls Reached]]/Table134[[#This Row],[Total Calls]]</f>
        <v>0.31666666666666665</v>
      </c>
      <c r="M554" s="5">
        <f>Table134[[#This Row],[Deals Closed]]/Table134[[#This Row],[Calls Reached]]</f>
        <v>1.6842105263157894</v>
      </c>
      <c r="N554" s="6">
        <f>IFERROR(Table134[[#This Row],[Deal Value ($)]]/Table134[[#This Row],[Deals Closed]],0)</f>
        <v>155.0080880505123</v>
      </c>
      <c r="O554" s="6">
        <f>Table134[[#This Row],[Deal Value ($)]]/Table134[[#This Row],[Total Calls]]</f>
        <v>82.670980293606561</v>
      </c>
      <c r="P554" t="str">
        <f>IF(Table134[[#This Row],[Conversion Rate]]&gt;=20%,"High","Low")</f>
        <v>High</v>
      </c>
    </row>
    <row r="555" spans="1:16" x14ac:dyDescent="0.25">
      <c r="A555" s="2">
        <v>45642</v>
      </c>
      <c r="B555" s="2" t="str">
        <f>TEXT(Table134[[#This Row],[Date]],"MMM")</f>
        <v>Dec</v>
      </c>
      <c r="C555">
        <v>97</v>
      </c>
      <c r="D555">
        <v>33</v>
      </c>
      <c r="E555" s="3">
        <v>110.03559888886321</v>
      </c>
      <c r="F555">
        <v>28</v>
      </c>
      <c r="G555" s="6">
        <v>1542.522656225495</v>
      </c>
      <c r="H555" t="s">
        <v>10</v>
      </c>
      <c r="I555" t="s">
        <v>44</v>
      </c>
      <c r="J555" t="str">
        <f>Table134[[#This Row],[First Name]]&amp;" "&amp;Table134[[#This Row],[Last Name]]</f>
        <v>Alice Brown</v>
      </c>
      <c r="K555" t="s">
        <v>46</v>
      </c>
      <c r="L555" s="5">
        <f>Table134[[#This Row],[Calls Reached]]/Table134[[#This Row],[Total Calls]]</f>
        <v>0.34020618556701032</v>
      </c>
      <c r="M555" s="5">
        <f>Table134[[#This Row],[Deals Closed]]/Table134[[#This Row],[Calls Reached]]</f>
        <v>0.84848484848484851</v>
      </c>
      <c r="N555" s="6">
        <f>IFERROR(Table134[[#This Row],[Deal Value ($)]]/Table134[[#This Row],[Deals Closed]],0)</f>
        <v>55.090094865196249</v>
      </c>
      <c r="O555" s="6">
        <f>Table134[[#This Row],[Deal Value ($)]]/Table134[[#This Row],[Total Calls]]</f>
        <v>15.902295425005104</v>
      </c>
      <c r="P555" t="str">
        <f>IF(Table134[[#This Row],[Conversion Rate]]&gt;=20%,"High","Low")</f>
        <v>High</v>
      </c>
    </row>
    <row r="556" spans="1:16" x14ac:dyDescent="0.25">
      <c r="A556" s="2">
        <v>45643</v>
      </c>
      <c r="B556" s="2" t="str">
        <f>TEXT(Table134[[#This Row],[Date]],"MMM")</f>
        <v>Dec</v>
      </c>
      <c r="C556">
        <v>65</v>
      </c>
      <c r="D556">
        <v>73</v>
      </c>
      <c r="E556" s="3">
        <v>261.03958279158923</v>
      </c>
      <c r="F556">
        <v>21</v>
      </c>
      <c r="G556" s="6">
        <v>4742.2929836080657</v>
      </c>
      <c r="H556" t="s">
        <v>48</v>
      </c>
      <c r="I556" t="s">
        <v>44</v>
      </c>
      <c r="J556" t="str">
        <f>Table134[[#This Row],[First Name]]&amp;" "&amp;Table134[[#This Row],[Last Name]]</f>
        <v>Anna Brown</v>
      </c>
      <c r="K556" t="s">
        <v>46</v>
      </c>
      <c r="L556" s="5">
        <f>Table134[[#This Row],[Calls Reached]]/Table134[[#This Row],[Total Calls]]</f>
        <v>1.1230769230769231</v>
      </c>
      <c r="M556" s="5">
        <f>Table134[[#This Row],[Deals Closed]]/Table134[[#This Row],[Calls Reached]]</f>
        <v>0.28767123287671231</v>
      </c>
      <c r="N556" s="6">
        <f>IFERROR(Table134[[#This Row],[Deal Value ($)]]/Table134[[#This Row],[Deals Closed]],0)</f>
        <v>225.8234754099079</v>
      </c>
      <c r="O556" s="6">
        <f>Table134[[#This Row],[Deal Value ($)]]/Table134[[#This Row],[Total Calls]]</f>
        <v>72.958353593970244</v>
      </c>
      <c r="P556" t="str">
        <f>IF(Table134[[#This Row],[Conversion Rate]]&gt;=20%,"High","Low")</f>
        <v>High</v>
      </c>
    </row>
    <row r="557" spans="1:16" x14ac:dyDescent="0.25">
      <c r="A557" s="2">
        <v>45644</v>
      </c>
      <c r="B557" s="2" t="str">
        <f>TEXT(Table134[[#This Row],[Date]],"MMM")</f>
        <v>Dec</v>
      </c>
      <c r="C557">
        <v>82</v>
      </c>
      <c r="D557">
        <v>58</v>
      </c>
      <c r="E557" s="3">
        <v>205.72400349827231</v>
      </c>
      <c r="F557">
        <v>25</v>
      </c>
      <c r="G557" s="6">
        <v>3423.4099204656582</v>
      </c>
      <c r="H557" t="s">
        <v>9</v>
      </c>
      <c r="I557" t="s">
        <v>40</v>
      </c>
      <c r="J557" t="str">
        <f>Table134[[#This Row],[First Name]]&amp;" "&amp;Table134[[#This Row],[Last Name]]</f>
        <v>Evan Davis</v>
      </c>
      <c r="K557" t="s">
        <v>45</v>
      </c>
      <c r="L557" s="5">
        <f>Table134[[#This Row],[Calls Reached]]/Table134[[#This Row],[Total Calls]]</f>
        <v>0.70731707317073167</v>
      </c>
      <c r="M557" s="5">
        <f>Table134[[#This Row],[Deals Closed]]/Table134[[#This Row],[Calls Reached]]</f>
        <v>0.43103448275862066</v>
      </c>
      <c r="N557" s="6">
        <f>IFERROR(Table134[[#This Row],[Deal Value ($)]]/Table134[[#This Row],[Deals Closed]],0)</f>
        <v>136.93639681862632</v>
      </c>
      <c r="O557" s="6">
        <f>Table134[[#This Row],[Deal Value ($)]]/Table134[[#This Row],[Total Calls]]</f>
        <v>41.74890146909339</v>
      </c>
      <c r="P557" t="str">
        <f>IF(Table134[[#This Row],[Conversion Rate]]&gt;=20%,"High","Low")</f>
        <v>High</v>
      </c>
    </row>
    <row r="558" spans="1:16" x14ac:dyDescent="0.25">
      <c r="A558" s="2">
        <v>45645</v>
      </c>
      <c r="B558" s="2" t="str">
        <f>TEXT(Table134[[#This Row],[Date]],"MMM")</f>
        <v>Dec</v>
      </c>
      <c r="C558">
        <v>58</v>
      </c>
      <c r="D558">
        <v>45</v>
      </c>
      <c r="E558" s="3">
        <v>263.74867608895732</v>
      </c>
      <c r="F558">
        <v>27</v>
      </c>
      <c r="G558" s="6">
        <v>3234.8155769548662</v>
      </c>
      <c r="H558" t="s">
        <v>9</v>
      </c>
      <c r="I558" t="s">
        <v>37</v>
      </c>
      <c r="J558" t="str">
        <f>Table134[[#This Row],[First Name]]&amp;" "&amp;Table134[[#This Row],[Last Name]]</f>
        <v>Evan Johnson</v>
      </c>
      <c r="K558" t="s">
        <v>46</v>
      </c>
      <c r="L558" s="5">
        <f>Table134[[#This Row],[Calls Reached]]/Table134[[#This Row],[Total Calls]]</f>
        <v>0.77586206896551724</v>
      </c>
      <c r="M558" s="5">
        <f>Table134[[#This Row],[Deals Closed]]/Table134[[#This Row],[Calls Reached]]</f>
        <v>0.6</v>
      </c>
      <c r="N558" s="6">
        <f>IFERROR(Table134[[#This Row],[Deal Value ($)]]/Table134[[#This Row],[Deals Closed]],0)</f>
        <v>119.80798433166171</v>
      </c>
      <c r="O558" s="6">
        <f>Table134[[#This Row],[Deal Value ($)]]/Table134[[#This Row],[Total Calls]]</f>
        <v>55.772682361290798</v>
      </c>
      <c r="P558" t="str">
        <f>IF(Table134[[#This Row],[Conversion Rate]]&gt;=20%,"High","Low")</f>
        <v>High</v>
      </c>
    </row>
    <row r="559" spans="1:16" x14ac:dyDescent="0.25">
      <c r="A559" s="2">
        <v>45646</v>
      </c>
      <c r="B559" s="2" t="str">
        <f>TEXT(Table134[[#This Row],[Date]],"MMM")</f>
        <v>Dec</v>
      </c>
      <c r="C559">
        <v>55</v>
      </c>
      <c r="D559">
        <v>33</v>
      </c>
      <c r="E559" s="3">
        <v>159.88106590962559</v>
      </c>
      <c r="F559">
        <v>20</v>
      </c>
      <c r="G559" s="6">
        <v>2807.0982995742888</v>
      </c>
      <c r="H559" t="s">
        <v>12</v>
      </c>
      <c r="I559" t="s">
        <v>36</v>
      </c>
      <c r="J559" t="str">
        <f>Table134[[#This Row],[First Name]]&amp;" "&amp;Table134[[#This Row],[Last Name]]</f>
        <v>Jake Smith</v>
      </c>
      <c r="K559" t="s">
        <v>46</v>
      </c>
      <c r="L559" s="5">
        <f>Table134[[#This Row],[Calls Reached]]/Table134[[#This Row],[Total Calls]]</f>
        <v>0.6</v>
      </c>
      <c r="M559" s="5">
        <f>Table134[[#This Row],[Deals Closed]]/Table134[[#This Row],[Calls Reached]]</f>
        <v>0.60606060606060608</v>
      </c>
      <c r="N559" s="6">
        <f>IFERROR(Table134[[#This Row],[Deal Value ($)]]/Table134[[#This Row],[Deals Closed]],0)</f>
        <v>140.35491497871445</v>
      </c>
      <c r="O559" s="6">
        <f>Table134[[#This Row],[Deal Value ($)]]/Table134[[#This Row],[Total Calls]]</f>
        <v>51.038150901350704</v>
      </c>
      <c r="P559" t="str">
        <f>IF(Table134[[#This Row],[Conversion Rate]]&gt;=20%,"High","Low")</f>
        <v>High</v>
      </c>
    </row>
    <row r="560" spans="1:16" x14ac:dyDescent="0.25">
      <c r="A560" s="2">
        <v>45649</v>
      </c>
      <c r="B560" s="2" t="str">
        <f>TEXT(Table134[[#This Row],[Date]],"MMM")</f>
        <v>Dec</v>
      </c>
      <c r="C560">
        <v>65</v>
      </c>
      <c r="D560">
        <v>32</v>
      </c>
      <c r="E560" s="3">
        <v>545.26364036994755</v>
      </c>
      <c r="F560">
        <v>6</v>
      </c>
      <c r="G560" s="6">
        <v>1538.014152729914</v>
      </c>
      <c r="H560" t="s">
        <v>10</v>
      </c>
      <c r="I560" t="s">
        <v>43</v>
      </c>
      <c r="J560" t="str">
        <f>Table134[[#This Row],[First Name]]&amp;" "&amp;Table134[[#This Row],[Last Name]]</f>
        <v>Alice Williams</v>
      </c>
      <c r="K560" t="s">
        <v>46</v>
      </c>
      <c r="L560" s="5">
        <f>Table134[[#This Row],[Calls Reached]]/Table134[[#This Row],[Total Calls]]</f>
        <v>0.49230769230769234</v>
      </c>
      <c r="M560" s="5">
        <f>Table134[[#This Row],[Deals Closed]]/Table134[[#This Row],[Calls Reached]]</f>
        <v>0.1875</v>
      </c>
      <c r="N560" s="6">
        <f>IFERROR(Table134[[#This Row],[Deal Value ($)]]/Table134[[#This Row],[Deals Closed]],0)</f>
        <v>256.33569212165236</v>
      </c>
      <c r="O560" s="6">
        <f>Table134[[#This Row],[Deal Value ($)]]/Table134[[#This Row],[Total Calls]]</f>
        <v>23.661756195844831</v>
      </c>
      <c r="P560" t="str">
        <f>IF(Table134[[#This Row],[Conversion Rate]]&gt;=20%,"High","Low")</f>
        <v>Low</v>
      </c>
    </row>
    <row r="561" spans="1:16" x14ac:dyDescent="0.25">
      <c r="A561" s="2">
        <v>45650</v>
      </c>
      <c r="B561" s="2" t="str">
        <f>TEXT(Table134[[#This Row],[Date]],"MMM")</f>
        <v>Dec</v>
      </c>
      <c r="C561">
        <v>78</v>
      </c>
      <c r="D561">
        <v>71</v>
      </c>
      <c r="E561" s="3">
        <v>396.79622677702429</v>
      </c>
      <c r="F561">
        <v>16</v>
      </c>
      <c r="G561" s="6">
        <v>1294.376144024787</v>
      </c>
      <c r="H561" t="s">
        <v>9</v>
      </c>
      <c r="I561" t="s">
        <v>40</v>
      </c>
      <c r="J561" t="str">
        <f>Table134[[#This Row],[First Name]]&amp;" "&amp;Table134[[#This Row],[Last Name]]</f>
        <v>Evan Davis</v>
      </c>
      <c r="K561" t="s">
        <v>45</v>
      </c>
      <c r="L561" s="5">
        <f>Table134[[#This Row],[Calls Reached]]/Table134[[#This Row],[Total Calls]]</f>
        <v>0.91025641025641024</v>
      </c>
      <c r="M561" s="5">
        <f>Table134[[#This Row],[Deals Closed]]/Table134[[#This Row],[Calls Reached]]</f>
        <v>0.22535211267605634</v>
      </c>
      <c r="N561" s="6">
        <f>IFERROR(Table134[[#This Row],[Deal Value ($)]]/Table134[[#This Row],[Deals Closed]],0)</f>
        <v>80.898509001549186</v>
      </c>
      <c r="O561" s="6">
        <f>Table134[[#This Row],[Deal Value ($)]]/Table134[[#This Row],[Total Calls]]</f>
        <v>16.594565949035729</v>
      </c>
      <c r="P561" t="str">
        <f>IF(Table134[[#This Row],[Conversion Rate]]&gt;=20%,"High","Low")</f>
        <v>High</v>
      </c>
    </row>
    <row r="562" spans="1:16" x14ac:dyDescent="0.25">
      <c r="A562" s="2">
        <v>45651</v>
      </c>
      <c r="B562" s="2" t="str">
        <f>TEXT(Table134[[#This Row],[Date]],"MMM")</f>
        <v>Dec</v>
      </c>
      <c r="C562">
        <v>52</v>
      </c>
      <c r="D562">
        <v>46</v>
      </c>
      <c r="E562" s="3">
        <v>439.55115957224479</v>
      </c>
      <c r="F562">
        <v>19</v>
      </c>
      <c r="G562" s="6">
        <v>1492.187940815789</v>
      </c>
      <c r="H562" t="s">
        <v>18</v>
      </c>
      <c r="I562" t="s">
        <v>36</v>
      </c>
      <c r="J562" t="str">
        <f>Table134[[#This Row],[First Name]]&amp;" "&amp;Table134[[#This Row],[Last Name]]</f>
        <v>Chris Smith</v>
      </c>
      <c r="K562" t="s">
        <v>45</v>
      </c>
      <c r="L562" s="5">
        <f>Table134[[#This Row],[Calls Reached]]/Table134[[#This Row],[Total Calls]]</f>
        <v>0.88461538461538458</v>
      </c>
      <c r="M562" s="5">
        <f>Table134[[#This Row],[Deals Closed]]/Table134[[#This Row],[Calls Reached]]</f>
        <v>0.41304347826086957</v>
      </c>
      <c r="N562" s="6">
        <f>IFERROR(Table134[[#This Row],[Deal Value ($)]]/Table134[[#This Row],[Deals Closed]],0)</f>
        <v>78.536207411357324</v>
      </c>
      <c r="O562" s="6">
        <f>Table134[[#This Row],[Deal Value ($)]]/Table134[[#This Row],[Total Calls]]</f>
        <v>28.695921938765174</v>
      </c>
      <c r="P562" t="str">
        <f>IF(Table134[[#This Row],[Conversion Rate]]&gt;=20%,"High","Low")</f>
        <v>High</v>
      </c>
    </row>
    <row r="563" spans="1:16" x14ac:dyDescent="0.25">
      <c r="A563" s="2">
        <v>45652</v>
      </c>
      <c r="B563" s="2" t="str">
        <f>TEXT(Table134[[#This Row],[Date]],"MMM")</f>
        <v>Dec</v>
      </c>
      <c r="C563">
        <v>69</v>
      </c>
      <c r="D563">
        <v>21</v>
      </c>
      <c r="E563" s="3">
        <v>494.58561930366909</v>
      </c>
      <c r="F563">
        <v>19</v>
      </c>
      <c r="G563" s="6">
        <v>1338.9721796491449</v>
      </c>
      <c r="H563" t="s">
        <v>48</v>
      </c>
      <c r="I563" t="s">
        <v>44</v>
      </c>
      <c r="J563" t="str">
        <f>Table134[[#This Row],[First Name]]&amp;" "&amp;Table134[[#This Row],[Last Name]]</f>
        <v>Anna Brown</v>
      </c>
      <c r="K563" t="s">
        <v>45</v>
      </c>
      <c r="L563" s="5">
        <f>Table134[[#This Row],[Calls Reached]]/Table134[[#This Row],[Total Calls]]</f>
        <v>0.30434782608695654</v>
      </c>
      <c r="M563" s="5">
        <f>Table134[[#This Row],[Deals Closed]]/Table134[[#This Row],[Calls Reached]]</f>
        <v>0.90476190476190477</v>
      </c>
      <c r="N563" s="6">
        <f>IFERROR(Table134[[#This Row],[Deal Value ($)]]/Table134[[#This Row],[Deals Closed]],0)</f>
        <v>70.472219981533939</v>
      </c>
      <c r="O563" s="6">
        <f>Table134[[#This Row],[Deal Value ($)]]/Table134[[#This Row],[Total Calls]]</f>
        <v>19.405393907958622</v>
      </c>
      <c r="P563" t="str">
        <f>IF(Table134[[#This Row],[Conversion Rate]]&gt;=20%,"High","Low")</f>
        <v>High</v>
      </c>
    </row>
    <row r="564" spans="1:16" x14ac:dyDescent="0.25">
      <c r="A564" s="2">
        <v>45653</v>
      </c>
      <c r="B564" s="2" t="str">
        <f>TEXT(Table134[[#This Row],[Date]],"MMM")</f>
        <v>Dec</v>
      </c>
      <c r="C564">
        <v>85</v>
      </c>
      <c r="D564">
        <v>64</v>
      </c>
      <c r="E564" s="3">
        <v>349.22109946452861</v>
      </c>
      <c r="F564">
        <v>21</v>
      </c>
      <c r="G564" s="6">
        <v>4008.13013105039</v>
      </c>
      <c r="H564" t="s">
        <v>34</v>
      </c>
      <c r="I564" t="s">
        <v>37</v>
      </c>
      <c r="J564" t="str">
        <f>Table134[[#This Row],[First Name]]&amp;" "&amp;Table134[[#This Row],[Last Name]]</f>
        <v>Mimi Johnson</v>
      </c>
      <c r="K564" t="s">
        <v>45</v>
      </c>
      <c r="L564" s="5">
        <f>Table134[[#This Row],[Calls Reached]]/Table134[[#This Row],[Total Calls]]</f>
        <v>0.75294117647058822</v>
      </c>
      <c r="M564" s="5">
        <f>Table134[[#This Row],[Deals Closed]]/Table134[[#This Row],[Calls Reached]]</f>
        <v>0.328125</v>
      </c>
      <c r="N564" s="6">
        <f>IFERROR(Table134[[#This Row],[Deal Value ($)]]/Table134[[#This Row],[Deals Closed]],0)</f>
        <v>190.86333957382809</v>
      </c>
      <c r="O564" s="6">
        <f>Table134[[#This Row],[Deal Value ($)]]/Table134[[#This Row],[Total Calls]]</f>
        <v>47.154472130004585</v>
      </c>
      <c r="P564" t="str">
        <f>IF(Table134[[#This Row],[Conversion Rate]]&gt;=20%,"High","Low")</f>
        <v>High</v>
      </c>
    </row>
    <row r="565" spans="1:16" x14ac:dyDescent="0.25">
      <c r="A565" s="2">
        <v>45656</v>
      </c>
      <c r="B565" s="2" t="str">
        <f>TEXT(Table134[[#This Row],[Date]],"MMM")</f>
        <v>Dec</v>
      </c>
      <c r="C565">
        <v>68</v>
      </c>
      <c r="D565">
        <v>22</v>
      </c>
      <c r="E565" s="3">
        <v>143.46014404371181</v>
      </c>
      <c r="F565">
        <v>27</v>
      </c>
      <c r="G565" s="6">
        <v>2075.5636662502861</v>
      </c>
      <c r="H565" t="s">
        <v>18</v>
      </c>
      <c r="I565" t="s">
        <v>35</v>
      </c>
      <c r="J565" t="str">
        <f>Table134[[#This Row],[First Name]]&amp;" "&amp;Table134[[#This Row],[Last Name]]</f>
        <v>Chris Garcia</v>
      </c>
      <c r="K565" t="s">
        <v>45</v>
      </c>
      <c r="L565" s="5">
        <f>Table134[[#This Row],[Calls Reached]]/Table134[[#This Row],[Total Calls]]</f>
        <v>0.3235294117647059</v>
      </c>
      <c r="M565" s="5">
        <f>Table134[[#This Row],[Deals Closed]]/Table134[[#This Row],[Calls Reached]]</f>
        <v>1.2272727272727273</v>
      </c>
      <c r="N565" s="6">
        <f>IFERROR(Table134[[#This Row],[Deal Value ($)]]/Table134[[#This Row],[Deals Closed]],0)</f>
        <v>76.872728379640222</v>
      </c>
      <c r="O565" s="6">
        <f>Table134[[#This Row],[Deal Value ($)]]/Table134[[#This Row],[Total Calls]]</f>
        <v>30.522995091915973</v>
      </c>
      <c r="P565" t="str">
        <f>IF(Table134[[#This Row],[Conversion Rate]]&gt;=20%,"High","Low")</f>
        <v>High</v>
      </c>
    </row>
    <row r="566" spans="1:16" x14ac:dyDescent="0.25">
      <c r="A566" s="2">
        <v>45657</v>
      </c>
      <c r="B566" s="2" t="str">
        <f>TEXT(Table134[[#This Row],[Date]],"MMM")</f>
        <v>Dec</v>
      </c>
      <c r="C566">
        <v>75</v>
      </c>
      <c r="D566">
        <v>32</v>
      </c>
      <c r="E566" s="3">
        <v>368.55327090927392</v>
      </c>
      <c r="F566">
        <v>39</v>
      </c>
      <c r="G566" s="6">
        <v>760.29204453528359</v>
      </c>
      <c r="H566" t="s">
        <v>47</v>
      </c>
      <c r="I566" t="s">
        <v>37</v>
      </c>
      <c r="J566" t="str">
        <f>Table134[[#This Row],[First Name]]&amp;" "&amp;Table134[[#This Row],[Last Name]]</f>
        <v>John Johnson</v>
      </c>
      <c r="K566" t="s">
        <v>45</v>
      </c>
      <c r="L566" s="5">
        <f>Table134[[#This Row],[Calls Reached]]/Table134[[#This Row],[Total Calls]]</f>
        <v>0.42666666666666669</v>
      </c>
      <c r="M566" s="5">
        <f>Table134[[#This Row],[Deals Closed]]/Table134[[#This Row],[Calls Reached]]</f>
        <v>1.21875</v>
      </c>
      <c r="N566" s="6">
        <f>IFERROR(Table134[[#This Row],[Deal Value ($)]]/Table134[[#This Row],[Deals Closed]],0)</f>
        <v>19.494667808597015</v>
      </c>
      <c r="O566" s="6">
        <f>Table134[[#This Row],[Deal Value ($)]]/Table134[[#This Row],[Total Calls]]</f>
        <v>10.137227260470448</v>
      </c>
      <c r="P566" t="str">
        <f>IF(Table134[[#This Row],[Conversion Rate]]&gt;=20%,"High","Low")</f>
        <v>High</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6382A-CCED-4388-9D01-645401A1B648}">
  <dimension ref="A2:G13"/>
  <sheetViews>
    <sheetView zoomScaleNormal="100" workbookViewId="0">
      <selection activeCell="N20" sqref="N20"/>
    </sheetView>
  </sheetViews>
  <sheetFormatPr defaultRowHeight="15" x14ac:dyDescent="0.25"/>
  <cols>
    <col min="1" max="1" width="14.5703125" bestFit="1" customWidth="1"/>
    <col min="2" max="2" width="10.42578125" bestFit="1" customWidth="1"/>
    <col min="3" max="3" width="18.28515625" bestFit="1" customWidth="1"/>
    <col min="4" max="4" width="17.42578125" bestFit="1" customWidth="1"/>
    <col min="5" max="5" width="13.85546875" bestFit="1" customWidth="1"/>
    <col min="6" max="6" width="20.7109375" bestFit="1" customWidth="1"/>
    <col min="7" max="8" width="20" bestFit="1" customWidth="1"/>
  </cols>
  <sheetData>
    <row r="2" spans="1:7" x14ac:dyDescent="0.25">
      <c r="A2" s="9" t="s">
        <v>72</v>
      </c>
    </row>
    <row r="3" spans="1:7" x14ac:dyDescent="0.25">
      <c r="A3" s="7" t="s">
        <v>50</v>
      </c>
      <c r="B3" t="s">
        <v>68</v>
      </c>
      <c r="C3" t="s">
        <v>91</v>
      </c>
      <c r="D3" t="s">
        <v>92</v>
      </c>
      <c r="E3" t="s">
        <v>69</v>
      </c>
      <c r="F3" t="s">
        <v>71</v>
      </c>
      <c r="G3" t="s">
        <v>70</v>
      </c>
    </row>
    <row r="4" spans="1:7" x14ac:dyDescent="0.25">
      <c r="A4" s="8" t="s">
        <v>61</v>
      </c>
      <c r="B4">
        <v>893</v>
      </c>
      <c r="C4">
        <v>600</v>
      </c>
      <c r="D4">
        <v>175</v>
      </c>
      <c r="E4" s="11">
        <v>38339.314230363918</v>
      </c>
      <c r="F4" s="6">
        <v>403.62550976810348</v>
      </c>
      <c r="G4" s="6">
        <v>42.947017563946012</v>
      </c>
    </row>
    <row r="5" spans="1:7" x14ac:dyDescent="0.25">
      <c r="A5" s="8" t="s">
        <v>64</v>
      </c>
      <c r="B5">
        <v>608</v>
      </c>
      <c r="C5">
        <v>307</v>
      </c>
      <c r="D5">
        <v>102</v>
      </c>
      <c r="E5" s="11">
        <v>26752.778872740644</v>
      </c>
      <c r="F5" s="6">
        <v>494.885891925203</v>
      </c>
      <c r="G5" s="6">
        <v>47.550026629436822</v>
      </c>
    </row>
    <row r="6" spans="1:7" x14ac:dyDescent="0.25">
      <c r="A6" s="8" t="s">
        <v>65</v>
      </c>
      <c r="B6">
        <v>344</v>
      </c>
      <c r="C6">
        <v>163</v>
      </c>
      <c r="D6">
        <v>102</v>
      </c>
      <c r="E6" s="11">
        <v>25138.26529062921</v>
      </c>
      <c r="F6" s="6">
        <v>396.60429793103248</v>
      </c>
      <c r="G6" s="6">
        <v>80.143789919051812</v>
      </c>
    </row>
    <row r="7" spans="1:7" x14ac:dyDescent="0.25">
      <c r="A7" s="8" t="s">
        <v>57</v>
      </c>
      <c r="B7">
        <v>582</v>
      </c>
      <c r="C7">
        <v>319</v>
      </c>
      <c r="D7">
        <v>155</v>
      </c>
      <c r="E7" s="11">
        <v>24225.983580286491</v>
      </c>
      <c r="F7" s="6">
        <v>304.798150114267</v>
      </c>
      <c r="G7" s="6">
        <v>40.05604835340587</v>
      </c>
    </row>
    <row r="8" spans="1:7" x14ac:dyDescent="0.25">
      <c r="A8" s="8" t="s">
        <v>62</v>
      </c>
      <c r="B8">
        <v>614</v>
      </c>
      <c r="C8">
        <v>187</v>
      </c>
      <c r="D8">
        <v>106</v>
      </c>
      <c r="E8" s="11">
        <v>21462.786254456059</v>
      </c>
      <c r="F8" s="6">
        <v>382.33075030768703</v>
      </c>
      <c r="G8" s="6">
        <v>36.261334369203091</v>
      </c>
    </row>
    <row r="9" spans="1:7" x14ac:dyDescent="0.25">
      <c r="A9" s="8" t="s">
        <v>58</v>
      </c>
      <c r="B9">
        <v>438</v>
      </c>
      <c r="C9">
        <v>262</v>
      </c>
      <c r="D9">
        <v>83</v>
      </c>
      <c r="E9" s="11">
        <v>20383.562873339379</v>
      </c>
      <c r="F9" s="6">
        <v>307.75351089061655</v>
      </c>
      <c r="G9" s="6">
        <v>48.149954713894054</v>
      </c>
    </row>
    <row r="10" spans="1:7" x14ac:dyDescent="0.25">
      <c r="A10" s="8" t="s">
        <v>60</v>
      </c>
      <c r="B10">
        <v>435</v>
      </c>
      <c r="C10">
        <v>249</v>
      </c>
      <c r="D10">
        <v>101</v>
      </c>
      <c r="E10" s="11">
        <v>20227.957038136508</v>
      </c>
      <c r="F10" s="6">
        <v>165.62329927321028</v>
      </c>
      <c r="G10" s="6">
        <v>48.592893685808939</v>
      </c>
    </row>
    <row r="11" spans="1:7" x14ac:dyDescent="0.25">
      <c r="A11" s="8" t="s">
        <v>63</v>
      </c>
      <c r="B11">
        <v>578</v>
      </c>
      <c r="C11">
        <v>331</v>
      </c>
      <c r="D11">
        <v>268</v>
      </c>
      <c r="E11" s="11">
        <v>19939.984115798557</v>
      </c>
      <c r="F11" s="6">
        <v>75.512415809758522</v>
      </c>
      <c r="G11" s="6">
        <v>34.864626973548951</v>
      </c>
    </row>
    <row r="12" spans="1:7" x14ac:dyDescent="0.25">
      <c r="A12" s="8" t="s">
        <v>56</v>
      </c>
      <c r="B12">
        <v>530</v>
      </c>
      <c r="C12">
        <v>184</v>
      </c>
      <c r="D12">
        <v>90</v>
      </c>
      <c r="E12" s="11">
        <v>19354.3175726972</v>
      </c>
      <c r="F12" s="6">
        <v>497.51700749488242</v>
      </c>
      <c r="G12" s="6">
        <v>37.793611213223087</v>
      </c>
    </row>
    <row r="13" spans="1:7" x14ac:dyDescent="0.25">
      <c r="A13" s="8" t="s">
        <v>59</v>
      </c>
      <c r="B13">
        <v>402</v>
      </c>
      <c r="C13">
        <v>230</v>
      </c>
      <c r="D13">
        <v>105</v>
      </c>
      <c r="E13" s="11">
        <v>18996.401645461658</v>
      </c>
      <c r="F13" s="6">
        <v>610.70558949110091</v>
      </c>
      <c r="G13" s="6">
        <v>47.925561151270635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518F4-C362-4FF7-ADE6-66FFAA4E00BA}">
  <dimension ref="A2:C6"/>
  <sheetViews>
    <sheetView workbookViewId="0">
      <selection activeCell="P23" sqref="P23"/>
    </sheetView>
  </sheetViews>
  <sheetFormatPr defaultRowHeight="15" x14ac:dyDescent="0.25"/>
  <cols>
    <col min="1" max="1" width="21.85546875" bestFit="1" customWidth="1"/>
    <col min="2" max="2" width="17.42578125" bestFit="1" customWidth="1"/>
    <col min="3" max="3" width="13.85546875" bestFit="1" customWidth="1"/>
  </cols>
  <sheetData>
    <row r="2" spans="1:3" x14ac:dyDescent="0.25">
      <c r="A2" s="9" t="s">
        <v>88</v>
      </c>
    </row>
    <row r="3" spans="1:3" x14ac:dyDescent="0.25">
      <c r="A3" s="7" t="s">
        <v>55</v>
      </c>
      <c r="B3" t="s">
        <v>74</v>
      </c>
      <c r="C3" t="s">
        <v>69</v>
      </c>
    </row>
    <row r="4" spans="1:3" x14ac:dyDescent="0.25">
      <c r="A4" s="8" t="s">
        <v>67</v>
      </c>
      <c r="B4">
        <v>419</v>
      </c>
      <c r="C4" s="11">
        <v>1041535.4333191921</v>
      </c>
    </row>
    <row r="5" spans="1:3" x14ac:dyDescent="0.25">
      <c r="A5" s="8" t="s">
        <v>73</v>
      </c>
      <c r="B5">
        <v>146</v>
      </c>
      <c r="C5" s="11">
        <v>340494.03921054961</v>
      </c>
    </row>
    <row r="6" spans="1:3" x14ac:dyDescent="0.25">
      <c r="A6" s="8" t="s">
        <v>66</v>
      </c>
      <c r="B6">
        <v>565</v>
      </c>
      <c r="C6" s="11">
        <v>1382029.4725297415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1EC1-C491-4CCA-BFB8-798F05139F02}">
  <dimension ref="A2:B35"/>
  <sheetViews>
    <sheetView zoomScale="106" zoomScaleNormal="106" workbookViewId="0">
      <selection activeCell="A22" sqref="A22"/>
    </sheetView>
  </sheetViews>
  <sheetFormatPr defaultRowHeight="15" x14ac:dyDescent="0.25"/>
  <cols>
    <col min="1" max="1" width="11.85546875" bestFit="1" customWidth="1"/>
    <col min="2" max="2" width="10.85546875" bestFit="1" customWidth="1"/>
    <col min="3" max="3" width="17.42578125" bestFit="1" customWidth="1"/>
    <col min="4" max="4" width="5.5703125" bestFit="1" customWidth="1"/>
    <col min="5" max="5" width="4.42578125" bestFit="1" customWidth="1"/>
    <col min="6" max="6" width="7.28515625" bestFit="1" customWidth="1"/>
    <col min="7" max="8" width="5.42578125" bestFit="1" customWidth="1"/>
    <col min="9" max="9" width="7" bestFit="1" customWidth="1"/>
    <col min="10" max="11" width="6" bestFit="1" customWidth="1"/>
    <col min="12" max="12" width="6.42578125" bestFit="1" customWidth="1"/>
    <col min="13" max="13" width="5.140625" bestFit="1" customWidth="1"/>
    <col min="14" max="14" width="6.140625" bestFit="1" customWidth="1"/>
    <col min="15" max="15" width="3.7109375" bestFit="1" customWidth="1"/>
    <col min="16" max="16" width="4.85546875" bestFit="1" customWidth="1"/>
    <col min="17" max="17" width="6.42578125" bestFit="1" customWidth="1"/>
    <col min="18" max="18" width="5" bestFit="1" customWidth="1"/>
    <col min="19" max="19" width="5.140625" bestFit="1" customWidth="1"/>
    <col min="20" max="20" width="4.85546875" bestFit="1" customWidth="1"/>
    <col min="21" max="21" width="5.5703125" bestFit="1" customWidth="1"/>
    <col min="22" max="22" width="5.140625" bestFit="1" customWidth="1"/>
    <col min="23" max="23" width="7.85546875" bestFit="1" customWidth="1"/>
    <col min="24" max="24" width="5.7109375" bestFit="1" customWidth="1"/>
    <col min="25" max="25" width="6.140625" bestFit="1" customWidth="1"/>
    <col min="26" max="26" width="4.85546875" bestFit="1" customWidth="1"/>
    <col min="27" max="27" width="7.5703125" bestFit="1" customWidth="1"/>
    <col min="28" max="28" width="4.5703125" bestFit="1" customWidth="1"/>
    <col min="29" max="29" width="5.7109375" bestFit="1" customWidth="1"/>
    <col min="30" max="30" width="4.7109375" bestFit="1" customWidth="1"/>
    <col min="31" max="31" width="11.28515625" bestFit="1" customWidth="1"/>
    <col min="32" max="77" width="3" bestFit="1" customWidth="1"/>
    <col min="78" max="78" width="11.28515625" bestFit="1" customWidth="1"/>
  </cols>
  <sheetData>
    <row r="2" spans="1:2" x14ac:dyDescent="0.25">
      <c r="A2" s="9" t="s">
        <v>98</v>
      </c>
    </row>
    <row r="3" spans="1:2" x14ac:dyDescent="0.25">
      <c r="A3" s="7" t="s">
        <v>87</v>
      </c>
      <c r="B3" t="s">
        <v>69</v>
      </c>
    </row>
    <row r="4" spans="1:2" x14ac:dyDescent="0.25">
      <c r="A4" s="8" t="s">
        <v>75</v>
      </c>
      <c r="B4" s="11">
        <v>113219.72815905954</v>
      </c>
    </row>
    <row r="5" spans="1:2" x14ac:dyDescent="0.25">
      <c r="A5" s="8" t="s">
        <v>76</v>
      </c>
      <c r="B5" s="11">
        <v>99565.283878962204</v>
      </c>
    </row>
    <row r="6" spans="1:2" x14ac:dyDescent="0.25">
      <c r="A6" s="8" t="s">
        <v>77</v>
      </c>
      <c r="B6" s="11">
        <v>110977.09415479196</v>
      </c>
    </row>
    <row r="7" spans="1:2" x14ac:dyDescent="0.25">
      <c r="A7" s="8" t="s">
        <v>78</v>
      </c>
      <c r="B7" s="11">
        <v>115750.30260828316</v>
      </c>
    </row>
    <row r="8" spans="1:2" x14ac:dyDescent="0.25">
      <c r="A8" s="8" t="s">
        <v>79</v>
      </c>
      <c r="B8" s="11">
        <v>118577.61965578914</v>
      </c>
    </row>
    <row r="9" spans="1:2" x14ac:dyDescent="0.25">
      <c r="A9" s="8" t="s">
        <v>80</v>
      </c>
      <c r="B9" s="11">
        <v>111205.03674136283</v>
      </c>
    </row>
    <row r="10" spans="1:2" x14ac:dyDescent="0.25">
      <c r="A10" s="8" t="s">
        <v>81</v>
      </c>
      <c r="B10" s="11">
        <v>113337.7393160677</v>
      </c>
    </row>
    <row r="11" spans="1:2" x14ac:dyDescent="0.25">
      <c r="A11" s="8" t="s">
        <v>82</v>
      </c>
      <c r="B11" s="11">
        <v>125162.78459527473</v>
      </c>
    </row>
    <row r="12" spans="1:2" x14ac:dyDescent="0.25">
      <c r="A12" s="8" t="s">
        <v>83</v>
      </c>
      <c r="B12" s="11">
        <v>118837.27851259016</v>
      </c>
    </row>
    <row r="13" spans="1:2" x14ac:dyDescent="0.25">
      <c r="A13" s="8" t="s">
        <v>84</v>
      </c>
      <c r="B13" s="11">
        <v>124418.82289322038</v>
      </c>
    </row>
    <row r="14" spans="1:2" x14ac:dyDescent="0.25">
      <c r="A14" s="8" t="s">
        <v>85</v>
      </c>
      <c r="B14" s="11">
        <v>110126.9493129279</v>
      </c>
    </row>
    <row r="15" spans="1:2" x14ac:dyDescent="0.25">
      <c r="A15" s="8" t="s">
        <v>86</v>
      </c>
      <c r="B15" s="11">
        <v>120850.83270141172</v>
      </c>
    </row>
    <row r="16" spans="1:2" x14ac:dyDescent="0.25">
      <c r="A16" s="8" t="s">
        <v>66</v>
      </c>
      <c r="B16" s="11">
        <v>1382029.4725297417</v>
      </c>
    </row>
    <row r="21" spans="1:2" x14ac:dyDescent="0.25">
      <c r="A21" s="9" t="s">
        <v>99</v>
      </c>
    </row>
    <row r="22" spans="1:2" x14ac:dyDescent="0.25">
      <c r="A22" s="7" t="s">
        <v>87</v>
      </c>
      <c r="B22" t="s">
        <v>68</v>
      </c>
    </row>
    <row r="23" spans="1:2" x14ac:dyDescent="0.25">
      <c r="A23" s="8" t="s">
        <v>75</v>
      </c>
      <c r="B23">
        <v>3209</v>
      </c>
    </row>
    <row r="24" spans="1:2" x14ac:dyDescent="0.25">
      <c r="A24" s="8" t="s">
        <v>76</v>
      </c>
      <c r="B24">
        <v>3112</v>
      </c>
    </row>
    <row r="25" spans="1:2" x14ac:dyDescent="0.25">
      <c r="A25" s="8" t="s">
        <v>77</v>
      </c>
      <c r="B25">
        <v>2958</v>
      </c>
    </row>
    <row r="26" spans="1:2" x14ac:dyDescent="0.25">
      <c r="A26" s="8" t="s">
        <v>78</v>
      </c>
      <c r="B26">
        <v>3074</v>
      </c>
    </row>
    <row r="27" spans="1:2" x14ac:dyDescent="0.25">
      <c r="A27" s="8" t="s">
        <v>79</v>
      </c>
      <c r="B27">
        <v>3151</v>
      </c>
    </row>
    <row r="28" spans="1:2" x14ac:dyDescent="0.25">
      <c r="A28" s="8" t="s">
        <v>80</v>
      </c>
      <c r="B28">
        <v>2999</v>
      </c>
    </row>
    <row r="29" spans="1:2" x14ac:dyDescent="0.25">
      <c r="A29" s="8" t="s">
        <v>81</v>
      </c>
      <c r="B29">
        <v>3113</v>
      </c>
    </row>
    <row r="30" spans="1:2" x14ac:dyDescent="0.25">
      <c r="A30" s="8" t="s">
        <v>82</v>
      </c>
      <c r="B30">
        <v>3194</v>
      </c>
    </row>
    <row r="31" spans="1:2" x14ac:dyDescent="0.25">
      <c r="A31" s="8" t="s">
        <v>83</v>
      </c>
      <c r="B31">
        <v>3148</v>
      </c>
    </row>
    <row r="32" spans="1:2" x14ac:dyDescent="0.25">
      <c r="A32" s="8" t="s">
        <v>84</v>
      </c>
      <c r="B32">
        <v>3179</v>
      </c>
    </row>
    <row r="33" spans="1:2" x14ac:dyDescent="0.25">
      <c r="A33" s="8" t="s">
        <v>85</v>
      </c>
      <c r="B33">
        <v>3003</v>
      </c>
    </row>
    <row r="34" spans="1:2" x14ac:dyDescent="0.25">
      <c r="A34" s="8" t="s">
        <v>86</v>
      </c>
      <c r="B34">
        <v>3062</v>
      </c>
    </row>
    <row r="35" spans="1:2" x14ac:dyDescent="0.25">
      <c r="A35" s="8" t="s">
        <v>66</v>
      </c>
      <c r="B35">
        <v>37202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4125-43D3-4E31-AB8A-CE1AFD216F61}">
  <dimension ref="A3:F4"/>
  <sheetViews>
    <sheetView workbookViewId="0">
      <selection activeCell="E3" sqref="E3"/>
    </sheetView>
  </sheetViews>
  <sheetFormatPr defaultRowHeight="15" x14ac:dyDescent="0.25"/>
  <cols>
    <col min="1" max="1" width="13.85546875" bestFit="1" customWidth="1"/>
    <col min="2" max="2" width="10.42578125" bestFit="1" customWidth="1"/>
    <col min="3" max="3" width="12.7109375" bestFit="1" customWidth="1"/>
    <col min="4" max="4" width="13.7109375" bestFit="1" customWidth="1"/>
    <col min="5" max="5" width="20.7109375" bestFit="1" customWidth="1"/>
    <col min="6" max="7" width="20" bestFit="1" customWidth="1"/>
  </cols>
  <sheetData>
    <row r="3" spans="1:6" x14ac:dyDescent="0.25">
      <c r="A3" t="s">
        <v>69</v>
      </c>
      <c r="B3" t="s">
        <v>68</v>
      </c>
      <c r="C3" t="s">
        <v>94</v>
      </c>
      <c r="D3" t="s">
        <v>93</v>
      </c>
      <c r="E3" t="s">
        <v>71</v>
      </c>
      <c r="F3" t="s">
        <v>70</v>
      </c>
    </row>
    <row r="4" spans="1:6" x14ac:dyDescent="0.25">
      <c r="A4" s="11">
        <v>1382029.4725297417</v>
      </c>
      <c r="B4">
        <v>37202</v>
      </c>
      <c r="C4">
        <v>6535</v>
      </c>
      <c r="D4">
        <v>15177</v>
      </c>
      <c r="E4" s="6">
        <v>520.90993392909786</v>
      </c>
      <c r="F4" s="6">
        <v>44.032699861802577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13D3-629B-4687-965E-60CAC76DF01A}">
  <dimension ref="A1:B7"/>
  <sheetViews>
    <sheetView workbookViewId="0">
      <selection activeCell="B9" sqref="B9"/>
    </sheetView>
  </sheetViews>
  <sheetFormatPr defaultRowHeight="15" x14ac:dyDescent="0.25"/>
  <cols>
    <col min="1" max="1" width="22.7109375" bestFit="1" customWidth="1"/>
    <col min="2" max="2" width="12.7109375" bestFit="1" customWidth="1"/>
  </cols>
  <sheetData>
    <row r="1" spans="1:2" x14ac:dyDescent="0.25">
      <c r="A1" s="9" t="s">
        <v>89</v>
      </c>
      <c r="B1" s="9" t="s">
        <v>90</v>
      </c>
    </row>
    <row r="2" spans="1:2" x14ac:dyDescent="0.25">
      <c r="A2" t="s">
        <v>1</v>
      </c>
      <c r="B2">
        <f>GETPIVOTDATA(" Total Calls",KPI_Source!$A$3)</f>
        <v>37202</v>
      </c>
    </row>
    <row r="3" spans="1:2" x14ac:dyDescent="0.25">
      <c r="A3" t="s">
        <v>2</v>
      </c>
      <c r="B3">
        <f>GETPIVOTDATA(" Calls Reached",KPI_Source!$A$3)</f>
        <v>15177</v>
      </c>
    </row>
    <row r="4" spans="1:2" x14ac:dyDescent="0.25">
      <c r="A4" t="s">
        <v>4</v>
      </c>
      <c r="B4">
        <f>GETPIVOTDATA(" Deals Closed",KPI_Source!$A$3)</f>
        <v>6535</v>
      </c>
    </row>
    <row r="5" spans="1:2" x14ac:dyDescent="0.25">
      <c r="A5" t="s">
        <v>69</v>
      </c>
      <c r="B5" s="12">
        <f>GETPIVOTDATA("Total Revenue",KPI_Source!$A$3)</f>
        <v>1382029.4725297417</v>
      </c>
    </row>
    <row r="6" spans="1:2" x14ac:dyDescent="0.25">
      <c r="A6" t="s">
        <v>96</v>
      </c>
      <c r="B6" s="15">
        <f>B4/B3</f>
        <v>0.43058575476049288</v>
      </c>
    </row>
    <row r="7" spans="1:2" x14ac:dyDescent="0.25">
      <c r="A7" t="s">
        <v>51</v>
      </c>
      <c r="B7" s="16">
        <f>B3/B2</f>
        <v>0.40796193753024029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F573D-CFE1-4EFE-A1E8-1C545ECD28EE}">
  <dimension ref="J18"/>
  <sheetViews>
    <sheetView zoomScaleNormal="100" workbookViewId="0">
      <selection activeCell="V21" sqref="V21"/>
    </sheetView>
  </sheetViews>
  <sheetFormatPr defaultRowHeight="15" x14ac:dyDescent="0.25"/>
  <sheetData>
    <row r="18" spans="10:10" x14ac:dyDescent="0.25">
      <c r="J18" s="10"/>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2AF2E-0C35-4201-83C3-DEC7E16F124A}">
  <dimension ref="A1:T27"/>
  <sheetViews>
    <sheetView showGridLines="0" tabSelected="1" zoomScaleNormal="100" workbookViewId="0">
      <selection activeCell="W19" sqref="W19"/>
    </sheetView>
  </sheetViews>
  <sheetFormatPr defaultRowHeight="15" x14ac:dyDescent="0.25"/>
  <sheetData>
    <row r="1" spans="1:20" ht="15" customHeight="1" x14ac:dyDescent="0.25">
      <c r="A1" s="13"/>
      <c r="B1" s="17" t="s">
        <v>95</v>
      </c>
      <c r="C1" s="17"/>
      <c r="D1" s="17"/>
      <c r="E1" s="17"/>
      <c r="F1" s="17"/>
      <c r="G1" s="17"/>
      <c r="H1" s="17"/>
      <c r="I1" s="17"/>
      <c r="J1" s="17"/>
      <c r="K1" s="17"/>
      <c r="L1" s="17"/>
      <c r="M1" s="13"/>
      <c r="N1" s="13"/>
      <c r="O1" s="13"/>
      <c r="P1" s="13"/>
      <c r="Q1" s="13"/>
      <c r="R1" s="13"/>
      <c r="S1" s="13"/>
      <c r="T1" s="13"/>
    </row>
    <row r="2" spans="1:20" ht="15" customHeight="1" x14ac:dyDescent="0.25">
      <c r="A2" s="13"/>
      <c r="B2" s="17"/>
      <c r="C2" s="17"/>
      <c r="D2" s="17"/>
      <c r="E2" s="17"/>
      <c r="F2" s="17"/>
      <c r="G2" s="17"/>
      <c r="H2" s="17"/>
      <c r="I2" s="17"/>
      <c r="J2" s="17"/>
      <c r="K2" s="17"/>
      <c r="L2" s="17"/>
      <c r="M2" s="13"/>
      <c r="N2" s="13"/>
      <c r="O2" s="13"/>
      <c r="P2" s="13" t="s">
        <v>97</v>
      </c>
      <c r="Q2" s="13"/>
      <c r="R2" s="13"/>
      <c r="S2" s="13"/>
      <c r="T2" s="13"/>
    </row>
    <row r="3" spans="1:20" ht="15" customHeight="1" x14ac:dyDescent="0.25">
      <c r="A3" s="13"/>
      <c r="B3" s="14"/>
      <c r="C3" s="14"/>
      <c r="D3" s="14"/>
      <c r="E3" s="14"/>
      <c r="F3" s="14"/>
      <c r="G3" s="14"/>
      <c r="H3" s="14"/>
      <c r="I3" s="14"/>
      <c r="J3" s="14"/>
      <c r="K3" s="14"/>
      <c r="L3" s="14"/>
      <c r="M3" s="13"/>
      <c r="N3" s="13"/>
      <c r="O3" s="13"/>
      <c r="P3" s="13"/>
      <c r="Q3" s="13"/>
      <c r="R3" s="13"/>
      <c r="S3" s="13"/>
      <c r="T3" s="13"/>
    </row>
    <row r="4" spans="1:20" x14ac:dyDescent="0.25">
      <c r="A4" s="13"/>
      <c r="M4" s="13"/>
      <c r="N4" s="13"/>
      <c r="O4" s="13"/>
      <c r="P4" s="13"/>
      <c r="Q4" s="13"/>
      <c r="R4" s="13"/>
      <c r="S4" s="13"/>
      <c r="T4" s="13"/>
    </row>
    <row r="5" spans="1:20" x14ac:dyDescent="0.25">
      <c r="A5" s="13"/>
      <c r="B5" s="13"/>
      <c r="C5" s="13"/>
      <c r="D5" s="13"/>
      <c r="E5" s="13"/>
      <c r="F5" s="13"/>
      <c r="G5" s="13"/>
      <c r="H5" s="13"/>
      <c r="I5" s="13"/>
      <c r="J5" s="13"/>
      <c r="K5" s="13"/>
      <c r="L5" s="13"/>
      <c r="M5" s="13"/>
      <c r="O5" s="13"/>
      <c r="P5" s="13"/>
      <c r="Q5" s="13"/>
      <c r="R5" s="13"/>
      <c r="S5" s="13"/>
      <c r="T5" s="13"/>
    </row>
    <row r="6" spans="1:20" x14ac:dyDescent="0.25">
      <c r="A6" s="13"/>
      <c r="B6" s="13"/>
      <c r="C6" s="13"/>
      <c r="D6" s="13"/>
      <c r="E6" s="13"/>
      <c r="F6" s="13"/>
      <c r="G6" s="13"/>
      <c r="H6" s="13"/>
      <c r="I6" s="13"/>
      <c r="J6" s="13"/>
      <c r="K6" s="13"/>
      <c r="L6" s="13"/>
      <c r="M6" s="13"/>
      <c r="O6" s="13"/>
      <c r="P6" s="13"/>
      <c r="Q6" s="13"/>
      <c r="R6" s="13"/>
      <c r="S6" s="13"/>
      <c r="T6" s="13"/>
    </row>
    <row r="7" spans="1:20" x14ac:dyDescent="0.25">
      <c r="A7" s="13"/>
      <c r="B7" s="13"/>
      <c r="C7" s="13"/>
      <c r="D7" s="13"/>
      <c r="E7" s="13"/>
      <c r="F7" s="13"/>
      <c r="G7" s="13"/>
      <c r="H7" s="13"/>
      <c r="I7" s="13"/>
      <c r="J7" s="13"/>
      <c r="K7" s="13"/>
      <c r="L7" s="13"/>
      <c r="M7" s="13"/>
      <c r="N7" s="13"/>
      <c r="O7" s="13"/>
      <c r="P7" s="13"/>
      <c r="Q7" s="13"/>
      <c r="R7" s="13"/>
      <c r="S7" s="13"/>
      <c r="T7" s="13"/>
    </row>
    <row r="8" spans="1:20" x14ac:dyDescent="0.25">
      <c r="A8" s="13"/>
      <c r="B8" s="13"/>
      <c r="C8" s="13"/>
      <c r="D8" s="13"/>
      <c r="E8" s="13"/>
      <c r="F8" s="13"/>
      <c r="G8" s="13"/>
      <c r="H8" s="13"/>
      <c r="I8" s="13"/>
      <c r="J8" s="13"/>
      <c r="K8" s="13"/>
      <c r="L8" s="13"/>
      <c r="M8" s="13"/>
      <c r="N8" s="13"/>
      <c r="O8" s="13"/>
      <c r="P8" s="13"/>
      <c r="Q8" s="13"/>
      <c r="R8" s="13"/>
      <c r="S8" s="13"/>
      <c r="T8" s="13"/>
    </row>
    <row r="9" spans="1:20" x14ac:dyDescent="0.25">
      <c r="A9" s="13"/>
      <c r="B9" s="13"/>
      <c r="C9" s="13"/>
      <c r="D9" s="13"/>
      <c r="E9" s="13"/>
      <c r="F9" s="13"/>
      <c r="G9" s="13"/>
      <c r="H9" s="13"/>
      <c r="I9" s="13"/>
      <c r="J9" s="13"/>
      <c r="K9" s="13"/>
      <c r="L9" s="13"/>
      <c r="M9" s="13"/>
      <c r="N9" s="13"/>
      <c r="O9" s="13"/>
      <c r="P9" s="13"/>
      <c r="Q9" s="13"/>
      <c r="R9" s="13"/>
      <c r="S9" s="13"/>
      <c r="T9" s="13"/>
    </row>
    <row r="10" spans="1:20" x14ac:dyDescent="0.25">
      <c r="A10" s="13"/>
      <c r="B10" s="13"/>
      <c r="C10" s="13"/>
      <c r="D10" s="13"/>
      <c r="E10" s="13"/>
      <c r="F10" s="13"/>
      <c r="G10" s="13"/>
      <c r="H10" s="13"/>
      <c r="I10" s="13"/>
      <c r="J10" s="13"/>
      <c r="K10" s="13"/>
      <c r="L10" s="13"/>
      <c r="M10" s="13"/>
      <c r="N10" s="13"/>
      <c r="O10" s="13"/>
      <c r="P10" s="13"/>
      <c r="Q10" s="13"/>
      <c r="R10" s="13"/>
      <c r="S10" s="13"/>
      <c r="T10" s="13"/>
    </row>
    <row r="11" spans="1:20" x14ac:dyDescent="0.25">
      <c r="A11" s="13"/>
      <c r="B11" s="13"/>
      <c r="C11" s="13"/>
      <c r="D11" s="13"/>
      <c r="E11" s="13"/>
      <c r="F11" s="13"/>
      <c r="G11" s="13"/>
      <c r="H11" s="13"/>
      <c r="I11" s="13"/>
      <c r="J11" s="13"/>
      <c r="K11" s="13"/>
      <c r="L11" s="13"/>
      <c r="M11" s="13"/>
      <c r="N11" s="13"/>
      <c r="O11" s="13"/>
      <c r="P11" s="13"/>
      <c r="Q11" s="13"/>
      <c r="R11" s="13"/>
      <c r="S11" s="13"/>
      <c r="T11" s="13"/>
    </row>
    <row r="12" spans="1:20" x14ac:dyDescent="0.25">
      <c r="A12" s="13"/>
      <c r="B12" s="13"/>
      <c r="C12" s="13"/>
      <c r="D12" s="13"/>
      <c r="E12" s="13"/>
      <c r="F12" s="13"/>
      <c r="G12" s="13"/>
      <c r="H12" s="13"/>
      <c r="I12" s="13"/>
      <c r="J12" s="13"/>
      <c r="K12" s="13"/>
      <c r="L12" s="13"/>
      <c r="M12" s="13"/>
      <c r="N12" s="13"/>
      <c r="O12" s="13"/>
      <c r="P12" s="13"/>
      <c r="Q12" s="13"/>
      <c r="R12" s="13"/>
      <c r="S12" s="13"/>
      <c r="T12" s="13"/>
    </row>
    <row r="13" spans="1:20" x14ac:dyDescent="0.25">
      <c r="A13" s="13"/>
      <c r="B13" s="13"/>
      <c r="C13" s="13"/>
      <c r="D13" s="13"/>
      <c r="E13" s="13"/>
      <c r="F13" s="13"/>
      <c r="G13" s="13"/>
      <c r="H13" s="13"/>
      <c r="I13" s="13"/>
      <c r="J13" s="13"/>
      <c r="K13" s="13"/>
      <c r="L13" s="13"/>
      <c r="M13" s="13"/>
      <c r="N13" s="13"/>
      <c r="O13" s="13"/>
      <c r="P13" s="13"/>
      <c r="Q13" s="13"/>
      <c r="R13" s="13"/>
      <c r="S13" s="13"/>
      <c r="T13" s="13"/>
    </row>
    <row r="14" spans="1:20" x14ac:dyDescent="0.25">
      <c r="A14" s="13"/>
      <c r="B14" s="13"/>
      <c r="C14" s="13"/>
      <c r="D14" s="13"/>
      <c r="E14" s="13"/>
      <c r="F14" s="13"/>
      <c r="G14" s="13"/>
      <c r="H14" s="13"/>
      <c r="I14" s="13"/>
      <c r="J14" s="13"/>
      <c r="K14" s="13"/>
      <c r="L14" s="13"/>
      <c r="M14" s="13"/>
      <c r="N14" s="13"/>
      <c r="O14" s="13"/>
      <c r="P14" s="13"/>
      <c r="Q14" s="13"/>
      <c r="R14" s="13"/>
      <c r="S14" s="13"/>
      <c r="T14" s="13"/>
    </row>
    <row r="15" spans="1:20" x14ac:dyDescent="0.25">
      <c r="A15" s="13"/>
      <c r="B15" s="13"/>
      <c r="C15" s="13"/>
      <c r="D15" s="13"/>
      <c r="E15" s="13"/>
      <c r="F15" s="13"/>
      <c r="G15" s="13"/>
      <c r="H15" s="13"/>
      <c r="I15" s="13"/>
      <c r="J15" s="13"/>
      <c r="K15" s="13"/>
      <c r="L15" s="13"/>
      <c r="M15" s="13"/>
      <c r="N15" s="13"/>
      <c r="O15" s="13"/>
      <c r="P15" s="13"/>
      <c r="Q15" s="13"/>
      <c r="R15" s="13"/>
      <c r="S15" s="13"/>
      <c r="T15" s="13"/>
    </row>
    <row r="16" spans="1:20" x14ac:dyDescent="0.25">
      <c r="A16" s="13"/>
      <c r="B16" s="13"/>
      <c r="C16" s="13"/>
      <c r="D16" s="13"/>
      <c r="E16" s="13"/>
      <c r="F16" s="13"/>
      <c r="G16" s="13"/>
      <c r="H16" s="13"/>
      <c r="I16" s="13"/>
      <c r="J16" s="13"/>
      <c r="K16" s="13"/>
      <c r="L16" s="13"/>
      <c r="M16" s="13"/>
      <c r="N16" s="13"/>
      <c r="O16" s="13"/>
      <c r="P16" s="13"/>
      <c r="Q16" s="13"/>
      <c r="R16" s="13"/>
      <c r="S16" s="13"/>
      <c r="T16" s="13"/>
    </row>
    <row r="17" spans="1:20" x14ac:dyDescent="0.25">
      <c r="A17" s="13"/>
      <c r="B17" s="13"/>
      <c r="C17" s="13"/>
      <c r="D17" s="13"/>
      <c r="E17" s="13"/>
      <c r="F17" s="13"/>
      <c r="G17" s="13"/>
      <c r="H17" s="13"/>
      <c r="I17" s="13"/>
      <c r="J17" s="13"/>
      <c r="K17" s="13"/>
      <c r="L17" s="13"/>
      <c r="M17" s="13"/>
      <c r="N17" s="13"/>
      <c r="O17" s="13"/>
      <c r="P17" s="13"/>
      <c r="Q17" s="13"/>
      <c r="R17" s="13"/>
      <c r="S17" s="13"/>
      <c r="T17" s="13"/>
    </row>
    <row r="18" spans="1:20" x14ac:dyDescent="0.25">
      <c r="A18" s="13"/>
      <c r="B18" s="13"/>
      <c r="C18" s="13"/>
      <c r="D18" s="13"/>
      <c r="E18" s="13"/>
      <c r="F18" s="13"/>
      <c r="G18" s="13"/>
      <c r="H18" s="13"/>
      <c r="I18" s="13"/>
      <c r="J18" s="13"/>
      <c r="K18" s="13"/>
      <c r="L18" s="13"/>
      <c r="M18" s="13"/>
      <c r="N18" s="13"/>
      <c r="O18" s="13"/>
      <c r="P18" s="13"/>
      <c r="Q18" s="13"/>
      <c r="R18" s="13"/>
      <c r="S18" s="13"/>
      <c r="T18" s="13"/>
    </row>
    <row r="19" spans="1:20" x14ac:dyDescent="0.25">
      <c r="A19" s="13"/>
      <c r="B19" s="13"/>
      <c r="C19" s="13"/>
      <c r="D19" s="13"/>
      <c r="E19" s="13"/>
      <c r="F19" s="13"/>
      <c r="G19" s="13"/>
      <c r="H19" s="13"/>
      <c r="I19" s="13"/>
      <c r="J19" s="13"/>
      <c r="K19" s="13"/>
      <c r="L19" s="13"/>
      <c r="M19" s="13"/>
      <c r="N19" s="13"/>
      <c r="O19" s="13"/>
      <c r="P19" s="13"/>
      <c r="Q19" s="13"/>
      <c r="R19" s="13"/>
      <c r="S19" s="13"/>
      <c r="T19" s="13"/>
    </row>
    <row r="20" spans="1:20" x14ac:dyDescent="0.25">
      <c r="A20" s="13"/>
      <c r="B20" s="13"/>
      <c r="C20" s="13"/>
      <c r="D20" s="13"/>
      <c r="E20" s="13"/>
      <c r="F20" s="13"/>
      <c r="G20" s="13"/>
      <c r="H20" s="13"/>
      <c r="I20" s="13"/>
      <c r="J20" s="13"/>
      <c r="K20" s="13"/>
      <c r="L20" s="13"/>
      <c r="M20" s="13"/>
      <c r="N20" s="13"/>
      <c r="O20" s="13"/>
      <c r="P20" s="13"/>
      <c r="Q20" s="13"/>
      <c r="R20" s="13"/>
      <c r="S20" s="13"/>
      <c r="T20" s="13"/>
    </row>
    <row r="21" spans="1:20" x14ac:dyDescent="0.25">
      <c r="A21" s="13"/>
      <c r="B21" s="13"/>
      <c r="C21" s="13"/>
      <c r="D21" s="13"/>
      <c r="E21" s="13"/>
      <c r="F21" s="13"/>
      <c r="G21" s="13"/>
      <c r="H21" s="13"/>
      <c r="I21" s="13"/>
      <c r="J21" s="13"/>
      <c r="K21" s="13"/>
      <c r="L21" s="13"/>
      <c r="M21" s="13"/>
      <c r="N21" s="13"/>
      <c r="O21" s="13"/>
      <c r="P21" s="13"/>
      <c r="Q21" s="13"/>
      <c r="R21" s="13"/>
      <c r="S21" s="13"/>
      <c r="T21" s="13"/>
    </row>
    <row r="22" spans="1:20" x14ac:dyDescent="0.25">
      <c r="A22" s="13"/>
      <c r="B22" s="13"/>
      <c r="C22" s="13"/>
      <c r="D22" s="13"/>
      <c r="E22" s="13"/>
      <c r="F22" s="13"/>
      <c r="G22" s="13"/>
      <c r="H22" s="13"/>
      <c r="I22" s="13"/>
      <c r="J22" s="13"/>
      <c r="K22" s="13"/>
      <c r="L22" s="13"/>
      <c r="M22" s="13"/>
      <c r="N22" s="13"/>
      <c r="O22" s="13"/>
      <c r="P22" s="13"/>
      <c r="Q22" s="13"/>
      <c r="R22" s="13"/>
      <c r="S22" s="13"/>
      <c r="T22" s="13"/>
    </row>
    <row r="23" spans="1:20" x14ac:dyDescent="0.25">
      <c r="A23" s="13"/>
      <c r="B23" s="13"/>
      <c r="C23" s="13"/>
      <c r="D23" s="13"/>
      <c r="E23" s="13"/>
      <c r="F23" s="13"/>
      <c r="G23" s="13"/>
      <c r="H23" s="13"/>
      <c r="I23" s="13"/>
      <c r="J23" s="13"/>
      <c r="K23" s="13"/>
      <c r="L23" s="13"/>
      <c r="M23" s="13"/>
      <c r="N23" s="13"/>
      <c r="O23" s="13"/>
      <c r="P23" s="13"/>
      <c r="Q23" s="13"/>
      <c r="R23" s="13"/>
      <c r="S23" s="13"/>
      <c r="T23" s="13"/>
    </row>
    <row r="24" spans="1:20" x14ac:dyDescent="0.25">
      <c r="A24" s="13"/>
      <c r="B24" s="13"/>
      <c r="C24" s="13"/>
      <c r="D24" s="13"/>
      <c r="E24" s="13"/>
      <c r="F24" s="13"/>
      <c r="G24" s="13"/>
      <c r="H24" s="13"/>
      <c r="I24" s="13"/>
      <c r="J24" s="13"/>
      <c r="K24" s="13"/>
      <c r="L24" s="13"/>
      <c r="M24" s="13"/>
      <c r="N24" s="13"/>
      <c r="O24" s="13"/>
      <c r="P24" s="13"/>
      <c r="Q24" s="13"/>
      <c r="R24" s="13"/>
      <c r="S24" s="13"/>
      <c r="T24" s="13"/>
    </row>
    <row r="25" spans="1:20" x14ac:dyDescent="0.25">
      <c r="A25" s="13"/>
      <c r="B25" s="13"/>
      <c r="C25" s="13"/>
      <c r="D25" s="13"/>
      <c r="E25" s="13"/>
      <c r="F25" s="13"/>
      <c r="G25" s="13"/>
      <c r="H25" s="13"/>
      <c r="I25" s="13"/>
      <c r="J25" s="13"/>
      <c r="K25" s="13"/>
      <c r="L25" s="13"/>
      <c r="M25" s="13"/>
      <c r="N25" s="13"/>
      <c r="O25" s="13"/>
      <c r="P25" s="13"/>
      <c r="Q25" s="13"/>
      <c r="R25" s="13"/>
      <c r="S25" s="13"/>
      <c r="T25" s="13"/>
    </row>
    <row r="26" spans="1:20" x14ac:dyDescent="0.25">
      <c r="A26" s="13"/>
      <c r="B26" s="13"/>
      <c r="C26" s="13"/>
      <c r="D26" s="13"/>
      <c r="E26" s="13"/>
      <c r="F26" s="13"/>
      <c r="G26" s="13"/>
      <c r="H26" s="13"/>
      <c r="I26" s="13"/>
      <c r="J26" s="13"/>
      <c r="K26" s="13"/>
      <c r="L26" s="13"/>
      <c r="M26" s="13"/>
      <c r="N26" s="13"/>
      <c r="O26" s="13"/>
      <c r="P26" s="13"/>
      <c r="Q26" s="13"/>
      <c r="R26" s="13"/>
      <c r="S26" s="13"/>
      <c r="T26" s="13"/>
    </row>
    <row r="27" spans="1:20" x14ac:dyDescent="0.25">
      <c r="A27" s="13"/>
      <c r="B27" s="13"/>
      <c r="C27" s="13"/>
      <c r="D27" s="13"/>
      <c r="E27" s="13"/>
      <c r="F27" s="13"/>
      <c r="G27" s="13"/>
      <c r="H27" s="13"/>
      <c r="I27" s="13"/>
      <c r="J27" s="13"/>
      <c r="K27" s="13"/>
      <c r="L27" s="13"/>
      <c r="M27" s="13"/>
      <c r="N27" s="13"/>
      <c r="O27" s="13"/>
      <c r="P27" s="13"/>
      <c r="Q27" s="13"/>
      <c r="R27" s="13"/>
      <c r="S27" s="13"/>
      <c r="T27" s="13"/>
    </row>
  </sheetData>
  <mergeCells count="1">
    <mergeCell ref="B1: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Cleaned_Data</vt:lpstr>
      <vt:lpstr>Analysis</vt:lpstr>
      <vt:lpstr>Agent_Performance</vt:lpstr>
      <vt:lpstr>Conversion_Category</vt:lpstr>
      <vt:lpstr>Monthly_Trends</vt:lpstr>
      <vt:lpstr>KPI_Source</vt:lpstr>
      <vt:lpstr>KPI_Summary</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godslovechito7@gmail.com</cp:lastModifiedBy>
  <dcterms:created xsi:type="dcterms:W3CDTF">2024-09-09T12:14:10Z</dcterms:created>
  <dcterms:modified xsi:type="dcterms:W3CDTF">2026-03-12T09:42:10Z</dcterms:modified>
</cp:coreProperties>
</file>